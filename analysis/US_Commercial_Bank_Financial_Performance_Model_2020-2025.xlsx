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edictsantoso/Library/Mobile Documents/com~apple~CloudDocs/Desktop/Education /Undergraduate Universities/Suffolk University 2024 - 2026/Classes:Clubs:etc/Class Term/2026/Spring 2026/FIN 432 - Risk Management &amp; Financial Institution/US-Commercial-Bank-Financial-Performance-Analysis (2020–2025)/"/>
    </mc:Choice>
  </mc:AlternateContent>
  <xr:revisionPtr revIDLastSave="0" documentId="13_ncr:1_{B5E00FEA-5C43-FD48-882D-3BA965C502A8}" xr6:coauthVersionLast="47" xr6:coauthVersionMax="47" xr10:uidLastSave="{00000000-0000-0000-0000-000000000000}"/>
  <bookViews>
    <workbookView xWindow="28800" yWindow="1880" windowWidth="38400" windowHeight="19200" xr2:uid="{2094CE83-73DF-F549-952C-183791D43ECC}"/>
  </bookViews>
  <sheets>
    <sheet name="RawData" sheetId="1" r:id="rId1"/>
    <sheet name="Calculated Ratio" sheetId="2" r:id="rId2"/>
    <sheet name="FIN432_US_Commercial_Bank_Finan" sheetId="3" r:id="rId3"/>
    <sheet name="Visual Analysis Sheet" sheetId="4" r:id="rId4"/>
  </sheets>
  <definedNames>
    <definedName name="BAC">RawData!$A$63:$G$144</definedName>
    <definedName name="BAC_2020">RawData!$A$141:$G$148</definedName>
    <definedName name="BAC_2021">RawData!$A$126:$G$132</definedName>
    <definedName name="BAC_2022">RawData!$A$113:$G$124</definedName>
    <definedName name="BAC_2023">RawData!$A$98:$G$107</definedName>
    <definedName name="BAC_2024">RawData!$A$78:$G$87</definedName>
    <definedName name="BAC_2025">RawData!$A$63:$G$72</definedName>
    <definedName name="JPM">RawData!$A$2:$G$62</definedName>
    <definedName name="JPM_2020">RawData!#REF!</definedName>
    <definedName name="JPM_2021">RawData!#REF!</definedName>
    <definedName name="JPM_2022">RawData!$A$53:$G$62</definedName>
    <definedName name="JPM_2023">RawData!$A$38:$G$47</definedName>
    <definedName name="JPM_2024">RawData!$A$18:$G$27</definedName>
    <definedName name="JPM_2025">RawData!$A$2:$G$12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L8" i="2"/>
  <c r="D3" i="3"/>
  <c r="D2" i="2" a="1"/>
  <c r="D2" i="2" s="1"/>
  <c r="E3" i="2" a="1"/>
  <c r="E3" i="2" s="1"/>
  <c r="E4" i="2" a="1"/>
  <c r="E4" i="2" s="1"/>
  <c r="E5" i="2" a="1"/>
  <c r="E5" i="2" s="1"/>
  <c r="E6" i="2" a="1"/>
  <c r="E6" i="2" s="1"/>
  <c r="E7" i="2" a="1"/>
  <c r="E7" i="2" s="1"/>
  <c r="E8" i="2" a="1"/>
  <c r="E8" i="2" s="1"/>
  <c r="E9" i="2" a="1"/>
  <c r="E9" i="2" s="1"/>
  <c r="E10" i="2" a="1"/>
  <c r="E10" i="2" s="1"/>
  <c r="E11" i="2" a="1"/>
  <c r="E11" i="2" s="1"/>
  <c r="E12" i="2" a="1"/>
  <c r="E12" i="2" s="1"/>
  <c r="E13" i="2" a="1"/>
  <c r="E13" i="2" s="1"/>
  <c r="E14" i="2" a="1"/>
  <c r="E14" i="2" s="1"/>
  <c r="E15" i="2" a="1"/>
  <c r="E15" i="2" s="1"/>
  <c r="E16" i="2" a="1"/>
  <c r="E16" i="2" s="1"/>
  <c r="E17" i="2" a="1"/>
  <c r="E17" i="2" s="1"/>
  <c r="E18" i="2" a="1"/>
  <c r="E18" i="2" s="1"/>
  <c r="E19" i="2" a="1"/>
  <c r="E19" i="2" s="1"/>
  <c r="E20" i="2" a="1"/>
  <c r="E20" i="2" s="1"/>
  <c r="E21" i="2" a="1"/>
  <c r="E21" i="2" s="1"/>
  <c r="E22" i="2" a="1"/>
  <c r="E22" i="2" s="1"/>
  <c r="E23" i="2" a="1"/>
  <c r="E23" i="2" s="1"/>
  <c r="E24" i="2" a="1"/>
  <c r="E24" i="2" s="1"/>
  <c r="E25" i="2" a="1"/>
  <c r="E25" i="2" s="1"/>
  <c r="E26" i="2" a="1"/>
  <c r="E26" i="2" s="1"/>
  <c r="E27" i="2" a="1"/>
  <c r="E27" i="2" s="1"/>
  <c r="E28" i="2" a="1"/>
  <c r="E28" i="2" s="1"/>
  <c r="E29" i="2" a="1"/>
  <c r="E29" i="2" s="1"/>
  <c r="E30" i="2" a="1"/>
  <c r="E30" i="2" s="1"/>
  <c r="E31" i="2" a="1"/>
  <c r="E31" i="2" s="1"/>
  <c r="E32" i="2" a="1"/>
  <c r="E32" i="2" s="1"/>
  <c r="E33" i="2" a="1"/>
  <c r="E33" i="2" s="1"/>
  <c r="E34" i="2" a="1"/>
  <c r="E34" i="2" s="1"/>
  <c r="E35" i="2" a="1"/>
  <c r="E35" i="2" s="1"/>
  <c r="E36" i="2" a="1"/>
  <c r="E36" i="2" s="1"/>
  <c r="E37" i="2" a="1"/>
  <c r="E37" i="2" s="1"/>
  <c r="E2" i="2" a="1"/>
  <c r="E2" i="2" s="1"/>
  <c r="R32" i="2"/>
  <c r="R38" i="2"/>
  <c r="R37" i="2"/>
  <c r="R36" i="2"/>
  <c r="R35" i="2"/>
  <c r="R34" i="2"/>
  <c r="R33" i="2"/>
  <c r="R31" i="2"/>
  <c r="R30" i="2"/>
  <c r="R29" i="2"/>
  <c r="R28" i="2"/>
  <c r="R27" i="2"/>
  <c r="R26" i="2"/>
  <c r="R25" i="2"/>
  <c r="F3" i="2" a="1"/>
  <c r="F3" i="2" s="1"/>
  <c r="F4" i="2" a="1"/>
  <c r="F4" i="2" s="1"/>
  <c r="F5" i="2" a="1"/>
  <c r="F5" i="2" s="1"/>
  <c r="F6" i="2" a="1"/>
  <c r="F6" i="2" s="1"/>
  <c r="F7" i="2" a="1"/>
  <c r="F7" i="2" s="1"/>
  <c r="F8" i="2" a="1"/>
  <c r="F8" i="2" s="1"/>
  <c r="F9" i="2" a="1"/>
  <c r="F9" i="2" s="1"/>
  <c r="F10" i="2" a="1"/>
  <c r="F10" i="2" s="1"/>
  <c r="F11" i="2" a="1"/>
  <c r="F11" i="2" s="1"/>
  <c r="F12" i="2" a="1"/>
  <c r="F12" i="2" s="1"/>
  <c r="F13" i="2" a="1"/>
  <c r="F13" i="2" s="1"/>
  <c r="F14" i="2" a="1"/>
  <c r="F14" i="2" s="1"/>
  <c r="F15" i="2" a="1"/>
  <c r="F15" i="2" s="1"/>
  <c r="F16" i="2" a="1"/>
  <c r="F16" i="2" s="1"/>
  <c r="F17" i="2" a="1"/>
  <c r="F17" i="2" s="1"/>
  <c r="F18" i="2" a="1"/>
  <c r="F18" i="2" s="1"/>
  <c r="F19" i="2" a="1"/>
  <c r="F19" i="2" s="1"/>
  <c r="F20" i="2" a="1"/>
  <c r="F20" i="2" s="1"/>
  <c r="F21" i="2" a="1"/>
  <c r="F21" i="2" s="1"/>
  <c r="F22" i="2" a="1"/>
  <c r="F22" i="2" s="1"/>
  <c r="F23" i="2" a="1"/>
  <c r="F23" i="2" s="1"/>
  <c r="F24" i="2" a="1"/>
  <c r="F24" i="2" s="1"/>
  <c r="F25" i="2" a="1"/>
  <c r="F25" i="2" s="1"/>
  <c r="F26" i="2" a="1"/>
  <c r="F26" i="2" s="1"/>
  <c r="F27" i="2" a="1"/>
  <c r="F27" i="2" s="1"/>
  <c r="F28" i="2" a="1"/>
  <c r="F28" i="2" s="1"/>
  <c r="F29" i="2" a="1"/>
  <c r="F29" i="2" s="1"/>
  <c r="F30" i="2" a="1"/>
  <c r="F30" i="2" s="1"/>
  <c r="F31" i="2" a="1"/>
  <c r="F31" i="2" s="1"/>
  <c r="F32" i="2" a="1"/>
  <c r="F32" i="2" s="1"/>
  <c r="F33" i="2" a="1"/>
  <c r="F33" i="2" s="1"/>
  <c r="F34" i="2" a="1"/>
  <c r="F34" i="2" s="1"/>
  <c r="F35" i="2" a="1"/>
  <c r="F35" i="2" s="1"/>
  <c r="F36" i="2" a="1"/>
  <c r="F36" i="2" s="1"/>
  <c r="F37" i="2" a="1"/>
  <c r="F37" i="2" s="1"/>
  <c r="F2" i="2" a="1"/>
  <c r="F2" i="2" s="1"/>
  <c r="D4" i="2" a="1"/>
  <c r="D4" i="2" s="1"/>
  <c r="D5" i="2" a="1"/>
  <c r="D5" i="2" s="1"/>
  <c r="D6" i="2" a="1"/>
  <c r="D6" i="2" s="1"/>
  <c r="D7" i="2" a="1"/>
  <c r="D7" i="2" s="1"/>
  <c r="D8" i="2" a="1"/>
  <c r="D8" i="2" s="1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14" i="2" a="1"/>
  <c r="D14" i="2" s="1"/>
  <c r="D15" i="2" a="1"/>
  <c r="D15" i="2" s="1"/>
  <c r="D16" i="2" a="1"/>
  <c r="D16" i="2" s="1"/>
  <c r="D17" i="2" a="1"/>
  <c r="D17" i="2" s="1"/>
  <c r="D18" i="2" a="1"/>
  <c r="D18" i="2" s="1"/>
  <c r="D19" i="2" a="1"/>
  <c r="D19" i="2" s="1"/>
  <c r="D20" i="2" a="1"/>
  <c r="D20" i="2" s="1"/>
  <c r="D21" i="2" a="1"/>
  <c r="D21" i="2" s="1"/>
  <c r="D22" i="2" a="1"/>
  <c r="D22" i="2" s="1"/>
  <c r="D23" i="2" a="1"/>
  <c r="D23" i="2" s="1"/>
  <c r="D24" i="2" a="1"/>
  <c r="D24" i="2" s="1"/>
  <c r="D25" i="2" a="1"/>
  <c r="D25" i="2" s="1"/>
  <c r="D26" i="2" a="1"/>
  <c r="D26" i="2" s="1"/>
  <c r="D27" i="2" a="1"/>
  <c r="D27" i="2" s="1"/>
  <c r="D28" i="2" a="1"/>
  <c r="D28" i="2" s="1"/>
  <c r="D29" i="2" a="1"/>
  <c r="D29" i="2" s="1"/>
  <c r="D30" i="2" a="1"/>
  <c r="D30" i="2" s="1"/>
  <c r="D31" i="2" a="1"/>
  <c r="D31" i="2" s="1"/>
  <c r="D32" i="2" a="1"/>
  <c r="D32" i="2" s="1"/>
  <c r="D33" i="2" a="1"/>
  <c r="D33" i="2" s="1"/>
  <c r="D34" i="2" a="1"/>
  <c r="D34" i="2" s="1"/>
  <c r="D35" i="2" a="1"/>
  <c r="D35" i="2" s="1"/>
  <c r="D36" i="2" a="1"/>
  <c r="D36" i="2" s="1"/>
  <c r="D37" i="2" a="1"/>
  <c r="D37" i="2" s="1"/>
  <c r="D3" i="2" a="1"/>
  <c r="D3" i="2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I3" i="2"/>
  <c r="I4" i="2"/>
  <c r="I5" i="2"/>
  <c r="I6" i="2"/>
  <c r="I7" i="2"/>
  <c r="I8" i="2"/>
  <c r="C22" i="3" s="1" a="1"/>
  <c r="C22" i="3" s="1"/>
  <c r="I9" i="2"/>
  <c r="I10" i="2"/>
  <c r="I11" i="2"/>
  <c r="I12" i="2"/>
  <c r="I13" i="2"/>
  <c r="I14" i="2"/>
  <c r="C23" i="3" s="1" a="1"/>
  <c r="C23" i="3" s="1"/>
  <c r="I15" i="2"/>
  <c r="I16" i="2"/>
  <c r="I17" i="2"/>
  <c r="I18" i="2"/>
  <c r="I19" i="2"/>
  <c r="I20" i="2"/>
  <c r="C24" i="3" s="1" a="1"/>
  <c r="C24" i="3" s="1"/>
  <c r="I21" i="2"/>
  <c r="I22" i="2"/>
  <c r="I23" i="2"/>
  <c r="I24" i="2"/>
  <c r="I25" i="2"/>
  <c r="I26" i="2"/>
  <c r="C25" i="3" s="1" a="1"/>
  <c r="C25" i="3" s="1"/>
  <c r="I27" i="2"/>
  <c r="I28" i="2"/>
  <c r="I29" i="2"/>
  <c r="I30" i="2"/>
  <c r="I31" i="2"/>
  <c r="I32" i="2"/>
  <c r="C26" i="3" s="1" a="1"/>
  <c r="C26" i="3" s="1"/>
  <c r="I33" i="2"/>
  <c r="I34" i="2"/>
  <c r="I35" i="2"/>
  <c r="I36" i="2"/>
  <c r="I37" i="2"/>
  <c r="H3" i="2"/>
  <c r="H4" i="2"/>
  <c r="H5" i="2"/>
  <c r="H6" i="2"/>
  <c r="H7" i="2"/>
  <c r="H8" i="2"/>
  <c r="B22" i="3" s="1" a="1"/>
  <c r="B22" i="3" s="1"/>
  <c r="H9" i="2"/>
  <c r="H10" i="2"/>
  <c r="H11" i="2"/>
  <c r="H12" i="2"/>
  <c r="H13" i="2"/>
  <c r="H14" i="2"/>
  <c r="B23" i="3" s="1" a="1"/>
  <c r="B23" i="3" s="1"/>
  <c r="H15" i="2"/>
  <c r="H16" i="2"/>
  <c r="H17" i="2"/>
  <c r="H18" i="2"/>
  <c r="H19" i="2"/>
  <c r="H20" i="2"/>
  <c r="B24" i="3" s="1" a="1"/>
  <c r="B24" i="3" s="1"/>
  <c r="H21" i="2"/>
  <c r="H22" i="2"/>
  <c r="H23" i="2"/>
  <c r="H24" i="2"/>
  <c r="H25" i="2"/>
  <c r="H26" i="2"/>
  <c r="B25" i="3" s="1" a="1"/>
  <c r="B25" i="3" s="1"/>
  <c r="H27" i="2"/>
  <c r="H28" i="2"/>
  <c r="H29" i="2"/>
  <c r="H30" i="2"/>
  <c r="H31" i="2"/>
  <c r="H32" i="2"/>
  <c r="B26" i="3" s="1" a="1"/>
  <c r="B26" i="3" s="1"/>
  <c r="H33" i="2"/>
  <c r="H34" i="2"/>
  <c r="H35" i="2"/>
  <c r="H36" i="2"/>
  <c r="H37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J2" i="2"/>
  <c r="I2" i="2"/>
  <c r="C21" i="3" s="1" a="1"/>
  <c r="C21" i="3" s="1"/>
  <c r="H2" i="2"/>
  <c r="B21" i="3" s="1" a="1"/>
  <c r="B21" i="3" s="1"/>
  <c r="G2" i="2"/>
  <c r="C2" i="2"/>
  <c r="S35" i="2"/>
  <c r="S29" i="2"/>
  <c r="S34" i="2"/>
  <c r="S33" i="2"/>
  <c r="S32" i="2"/>
  <c r="S26" i="2"/>
  <c r="S28" i="2"/>
  <c r="S30" i="2"/>
  <c r="S25" i="2"/>
  <c r="S31" i="2"/>
  <c r="S36" i="2"/>
  <c r="S27" i="2"/>
  <c r="S37" i="2"/>
  <c r="S38" i="2"/>
  <c r="K2" i="2" l="1"/>
  <c r="L21" i="2"/>
  <c r="L29" i="2"/>
  <c r="L37" i="2"/>
  <c r="O12" i="2"/>
  <c r="M19" i="2"/>
  <c r="O31" i="2"/>
  <c r="L20" i="2"/>
  <c r="M18" i="2"/>
  <c r="O30" i="2"/>
  <c r="O22" i="2"/>
  <c r="O14" i="2"/>
  <c r="C14" i="3" s="1" a="1"/>
  <c r="C14" i="3" s="1"/>
  <c r="P2" i="2"/>
  <c r="D21" i="3" s="1" a="1"/>
  <c r="D21" i="3" s="1"/>
  <c r="L35" i="2"/>
  <c r="L27" i="2"/>
  <c r="L19" i="2"/>
  <c r="M25" i="2"/>
  <c r="O37" i="2"/>
  <c r="O29" i="2"/>
  <c r="O21" i="2"/>
  <c r="N2" i="2"/>
  <c r="B12" i="3" s="1" a="1"/>
  <c r="B12" i="3" s="1"/>
  <c r="M35" i="2"/>
  <c r="M11" i="2"/>
  <c r="O23" i="2"/>
  <c r="L36" i="2"/>
  <c r="M26" i="2"/>
  <c r="D16" i="3" s="1" a="1"/>
  <c r="D16" i="3" s="1"/>
  <c r="M10" i="2"/>
  <c r="L34" i="2"/>
  <c r="M27" i="2"/>
  <c r="O15" i="2"/>
  <c r="L28" i="2"/>
  <c r="M34" i="2"/>
  <c r="L26" i="2"/>
  <c r="L18" i="2"/>
  <c r="P19" i="2"/>
  <c r="K31" i="2"/>
  <c r="K23" i="2"/>
  <c r="M36" i="2"/>
  <c r="M28" i="2"/>
  <c r="M20" i="2"/>
  <c r="D15" i="3" s="1" a="1"/>
  <c r="D15" i="3" s="1"/>
  <c r="P30" i="2"/>
  <c r="P22" i="2"/>
  <c r="P14" i="2"/>
  <c r="D23" i="3" s="1" a="1"/>
  <c r="D23" i="3" s="1"/>
  <c r="M33" i="2"/>
  <c r="M17" i="2"/>
  <c r="P37" i="2"/>
  <c r="P29" i="2"/>
  <c r="P21" i="2"/>
  <c r="L6" i="2"/>
  <c r="N4" i="2"/>
  <c r="P36" i="2"/>
  <c r="P28" i="2"/>
  <c r="P20" i="2"/>
  <c r="D24" i="3" s="1" a="1"/>
  <c r="D24" i="3" s="1"/>
  <c r="O2" i="2"/>
  <c r="C12" i="3" s="1" a="1"/>
  <c r="C12" i="3" s="1"/>
  <c r="M32" i="2"/>
  <c r="D17" i="3" s="1" a="1"/>
  <c r="D17" i="3" s="1"/>
  <c r="M24" i="2"/>
  <c r="M16" i="2"/>
  <c r="K25" i="2"/>
  <c r="M23" i="2"/>
  <c r="O35" i="2"/>
  <c r="O19" i="2"/>
  <c r="L2" i="2"/>
  <c r="K17" i="2"/>
  <c r="M31" i="2"/>
  <c r="M15" i="2"/>
  <c r="O27" i="2"/>
  <c r="M2" i="2"/>
  <c r="D12" i="3" s="1" a="1"/>
  <c r="D12" i="3" s="1"/>
  <c r="K32" i="2"/>
  <c r="K24" i="2"/>
  <c r="K16" i="2"/>
  <c r="M30" i="2"/>
  <c r="M22" i="2"/>
  <c r="M14" i="2"/>
  <c r="D14" i="3" s="1" a="1"/>
  <c r="D14" i="3" s="1"/>
  <c r="M4" i="2"/>
  <c r="N34" i="2"/>
  <c r="N26" i="2"/>
  <c r="B16" i="3" s="1" a="1"/>
  <c r="B16" i="3" s="1"/>
  <c r="N18" i="2"/>
  <c r="O10" i="2"/>
  <c r="O32" i="2"/>
  <c r="C17" i="3" s="1" a="1"/>
  <c r="C17" i="3" s="1"/>
  <c r="O24" i="2"/>
  <c r="P34" i="2"/>
  <c r="P26" i="2"/>
  <c r="D25" i="3" s="1" a="1"/>
  <c r="D25" i="3" s="1"/>
  <c r="P18" i="2"/>
  <c r="O20" i="2"/>
  <c r="C15" i="3" s="1" a="1"/>
  <c r="C15" i="3" s="1"/>
  <c r="K15" i="2"/>
  <c r="L7" i="2"/>
  <c r="M37" i="2"/>
  <c r="M29" i="2"/>
  <c r="M21" i="2"/>
  <c r="N33" i="2"/>
  <c r="N25" i="2"/>
  <c r="N17" i="2"/>
  <c r="P33" i="2"/>
  <c r="P25" i="2"/>
  <c r="P17" i="2"/>
  <c r="L32" i="2"/>
  <c r="O36" i="2"/>
  <c r="K33" i="2"/>
  <c r="L30" i="2"/>
  <c r="L22" i="2"/>
  <c r="L14" i="2"/>
  <c r="N32" i="2"/>
  <c r="B17" i="3" s="1" a="1"/>
  <c r="B17" i="3" s="1"/>
  <c r="N24" i="2"/>
  <c r="N16" i="2"/>
  <c r="P32" i="2"/>
  <c r="D26" i="3" s="1" a="1"/>
  <c r="D26" i="3" s="1"/>
  <c r="P24" i="2"/>
  <c r="P16" i="2"/>
  <c r="L24" i="2"/>
  <c r="O28" i="2"/>
  <c r="L13" i="2"/>
  <c r="O13" i="2"/>
  <c r="P35" i="2"/>
  <c r="P27" i="2"/>
  <c r="P31" i="2"/>
  <c r="P23" i="2"/>
  <c r="P15" i="2"/>
  <c r="O16" i="2"/>
  <c r="N7" i="2"/>
  <c r="M13" i="2"/>
  <c r="M12" i="2"/>
  <c r="P8" i="2"/>
  <c r="D22" i="3" s="1" a="1"/>
  <c r="D22" i="3" s="1"/>
  <c r="K30" i="2"/>
  <c r="K22" i="2"/>
  <c r="K14" i="2"/>
  <c r="L33" i="2"/>
  <c r="L25" i="2"/>
  <c r="L17" i="2"/>
  <c r="N31" i="2"/>
  <c r="N23" i="2"/>
  <c r="N15" i="2"/>
  <c r="O34" i="2"/>
  <c r="O26" i="2"/>
  <c r="C16" i="3" s="1" a="1"/>
  <c r="C16" i="3" s="1"/>
  <c r="O18" i="2"/>
  <c r="L16" i="2"/>
  <c r="N30" i="2"/>
  <c r="N22" i="2"/>
  <c r="N14" i="2"/>
  <c r="B14" i="3" s="1" a="1"/>
  <c r="B14" i="3" s="1"/>
  <c r="O33" i="2"/>
  <c r="O25" i="2"/>
  <c r="O17" i="2"/>
  <c r="K37" i="2"/>
  <c r="K29" i="2"/>
  <c r="K21" i="2"/>
  <c r="K36" i="2"/>
  <c r="K28" i="2"/>
  <c r="K20" i="2"/>
  <c r="L31" i="2"/>
  <c r="L23" i="2"/>
  <c r="L15" i="2"/>
  <c r="N37" i="2"/>
  <c r="N29" i="2"/>
  <c r="N21" i="2"/>
  <c r="K11" i="2"/>
  <c r="M9" i="2"/>
  <c r="N13" i="2"/>
  <c r="P13" i="2"/>
  <c r="K35" i="2"/>
  <c r="K27" i="2"/>
  <c r="K19" i="2"/>
  <c r="N36" i="2"/>
  <c r="N28" i="2"/>
  <c r="N20" i="2"/>
  <c r="B15" i="3" s="1" a="1"/>
  <c r="B15" i="3" s="1"/>
  <c r="P12" i="2"/>
  <c r="K34" i="2"/>
  <c r="K26" i="2"/>
  <c r="K18" i="2"/>
  <c r="N35" i="2"/>
  <c r="N27" i="2"/>
  <c r="N19" i="2"/>
  <c r="L9" i="2"/>
  <c r="N3" i="2"/>
  <c r="P11" i="2"/>
  <c r="P3" i="2"/>
  <c r="L5" i="2"/>
  <c r="K12" i="2"/>
  <c r="L12" i="2"/>
  <c r="N11" i="2"/>
  <c r="K10" i="2"/>
  <c r="P10" i="2"/>
  <c r="N10" i="2"/>
  <c r="P9" i="2"/>
  <c r="O9" i="2"/>
  <c r="M8" i="2"/>
  <c r="D13" i="3" s="1" a="1"/>
  <c r="D13" i="3" s="1"/>
  <c r="O8" i="2"/>
  <c r="C13" i="3" s="1" a="1"/>
  <c r="C13" i="3" s="1"/>
  <c r="K13" i="2"/>
  <c r="N12" i="2"/>
  <c r="O11" i="2"/>
  <c r="L11" i="2"/>
  <c r="L10" i="2"/>
  <c r="K9" i="2"/>
  <c r="N9" i="2"/>
  <c r="K8" i="2"/>
  <c r="N8" i="2"/>
  <c r="B13" i="3" s="1" a="1"/>
  <c r="B13" i="3" s="1"/>
  <c r="O7" i="2"/>
  <c r="P7" i="2"/>
  <c r="M7" i="2"/>
  <c r="K7" i="2"/>
  <c r="P4" i="2"/>
  <c r="M6" i="2"/>
  <c r="M5" i="2"/>
  <c r="K6" i="2"/>
  <c r="L4" i="2"/>
  <c r="N6" i="2"/>
  <c r="P6" i="2"/>
  <c r="K5" i="2"/>
  <c r="K3" i="2"/>
  <c r="O5" i="2"/>
  <c r="P5" i="2"/>
  <c r="O6" i="2"/>
  <c r="K4" i="2"/>
  <c r="O4" i="2"/>
  <c r="N5" i="2"/>
  <c r="M3" i="2"/>
  <c r="L3" i="2"/>
  <c r="O3" i="2"/>
  <c r="E8" i="3" l="1" a="1"/>
  <c r="E8" i="3" s="1"/>
  <c r="D8" i="3"/>
  <c r="E6" i="3" a="1"/>
  <c r="E6" i="3" s="1"/>
  <c r="D6" i="3"/>
  <c r="E4" i="3" a="1"/>
  <c r="E4" i="3" s="1"/>
  <c r="B7" i="3"/>
  <c r="C7" i="3" a="1"/>
  <c r="C7" i="3" s="1"/>
  <c r="E5" i="3" a="1"/>
  <c r="E5" i="3" s="1"/>
  <c r="D5" i="3"/>
  <c r="E3" i="3" a="1"/>
  <c r="E3" i="3" s="1"/>
  <c r="C8" i="3" a="1"/>
  <c r="C8" i="3" s="1"/>
  <c r="B8" i="3"/>
  <c r="B5" i="3"/>
  <c r="C5" i="3" a="1"/>
  <c r="C5" i="3" s="1"/>
  <c r="B6" i="3"/>
  <c r="C6" i="3" a="1"/>
  <c r="C6" i="3" s="1"/>
  <c r="C4" i="3" a="1"/>
  <c r="C4" i="3" s="1"/>
  <c r="B4" i="3"/>
  <c r="D7" i="3"/>
  <c r="E7" i="3" a="1"/>
  <c r="E7" i="3" s="1"/>
  <c r="B3" i="3"/>
  <c r="C3" i="3" a="1"/>
  <c r="C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<sst xmlns="http://schemas.openxmlformats.org/spreadsheetml/2006/main" count="1971" uniqueCount="126">
  <si>
    <t>Bank</t>
  </si>
  <si>
    <t>Year</t>
  </si>
  <si>
    <t>Schedule</t>
  </si>
  <si>
    <t>Line Item</t>
  </si>
  <si>
    <t>Code</t>
  </si>
  <si>
    <t>Value (000s)</t>
  </si>
  <si>
    <t>Source Page</t>
  </si>
  <si>
    <t>ROA</t>
  </si>
  <si>
    <t>ROE</t>
  </si>
  <si>
    <t>Efficiency Ratio</t>
  </si>
  <si>
    <t>Loan/Deposit</t>
  </si>
  <si>
    <t>Equity Multiplier</t>
  </si>
  <si>
    <t>Net Income</t>
  </si>
  <si>
    <t>Total Assets</t>
  </si>
  <si>
    <t>JPM</t>
  </si>
  <si>
    <t>RI</t>
  </si>
  <si>
    <t>Net Income Attributable to Bank</t>
  </si>
  <si>
    <t>RIAD4340</t>
  </si>
  <si>
    <t>RI p.10</t>
  </si>
  <si>
    <t>Net Interest Income</t>
  </si>
  <si>
    <t>RIAD4074</t>
  </si>
  <si>
    <t>RI p.9</t>
  </si>
  <si>
    <t>Provision for Credit Losses</t>
  </si>
  <si>
    <t>RIADJJ33</t>
  </si>
  <si>
    <t>Total Noninterest Income</t>
  </si>
  <si>
    <t>RIAD4079</t>
  </si>
  <si>
    <t>Total Noninterest Expense</t>
  </si>
  <si>
    <t>RIAD4093</t>
  </si>
  <si>
    <t>RC</t>
  </si>
  <si>
    <t>Total Loans (Gross)</t>
  </si>
  <si>
    <t>RCFD2122</t>
  </si>
  <si>
    <t>Allowance for Credit Losses</t>
  </si>
  <si>
    <t>RCFD3123</t>
  </si>
  <si>
    <t>RC-C p.23</t>
  </si>
  <si>
    <t>RC p.19</t>
  </si>
  <si>
    <t>RCFD2170</t>
  </si>
  <si>
    <t>Total Deposits</t>
  </si>
  <si>
    <t>RCON2200</t>
  </si>
  <si>
    <t>Total Equity Capital</t>
  </si>
  <si>
    <t>RCFD3210</t>
  </si>
  <si>
    <t>RI-A p.12</t>
  </si>
  <si>
    <t>RC p.17</t>
  </si>
  <si>
    <t>RC p.18</t>
  </si>
  <si>
    <t>RC p.20</t>
  </si>
  <si>
    <t>BAC</t>
  </si>
  <si>
    <t>RC-C p.22</t>
  </si>
  <si>
    <t>RC-E p.30</t>
  </si>
  <si>
    <t>Equity</t>
  </si>
  <si>
    <t>Loans</t>
  </si>
  <si>
    <t>Deposits</t>
  </si>
  <si>
    <t>NII</t>
  </si>
  <si>
    <t>Noninterest Income</t>
  </si>
  <si>
    <t>Noninterest Expense</t>
  </si>
  <si>
    <t>Loan/Asset</t>
  </si>
  <si>
    <t>Raw Dataset Extracted from Call Reports</t>
  </si>
  <si>
    <t>FFIEC Call Report Reference Guide</t>
  </si>
  <si>
    <t>Category</t>
  </si>
  <si>
    <t>Code / Term</t>
  </si>
  <si>
    <t>Full Name</t>
  </si>
  <si>
    <t>What It Represents</t>
  </si>
  <si>
    <t>Why It Matters in Analysis</t>
  </si>
  <si>
    <t>Report of Income</t>
  </si>
  <si>
    <t>Income statement section of the call report</t>
  </si>
  <si>
    <t>Used to compute profitability (ROA, ROE, efficiency)</t>
  </si>
  <si>
    <t>Balance Sheet</t>
  </si>
  <si>
    <t>Consolidated statement of assets &amp; liabilities</t>
  </si>
  <si>
    <t>Used to compute leverage and asset composition</t>
  </si>
  <si>
    <t>RC-C</t>
  </si>
  <si>
    <t>Loans and Lease Financing Receivables</t>
  </si>
  <si>
    <t>Detailed breakdown of loan portfolio</t>
  </si>
  <si>
    <t>Used to identify total gross loans</t>
  </si>
  <si>
    <t>RI-A</t>
  </si>
  <si>
    <t>Changes in Bank Equity Capital</t>
  </si>
  <si>
    <t>Reconciliation of retained earnings</t>
  </si>
  <si>
    <t>Used to confirm net income flows to equity</t>
  </si>
  <si>
    <t>Final net income after all expenses and taxes</t>
  </si>
  <si>
    <t>Core profitability measure (numerator of ROA/ROE)</t>
  </si>
  <si>
    <t>Interest income minus interest expense</t>
  </si>
  <si>
    <t>Core earnings from lending activities</t>
  </si>
  <si>
    <t>Fees, trading revenue, service income</t>
  </si>
  <si>
    <t>Diversification of revenue sources</t>
  </si>
  <si>
    <t>Operating expenses (salary, admin, overhead)</t>
  </si>
  <si>
    <t>Used in efficiency ratio</t>
  </si>
  <si>
    <t>Loan loss expense recorded in income statement</t>
  </si>
  <si>
    <t>Reflects credit risk conditions</t>
  </si>
  <si>
    <t>Total consolidated assets</t>
  </si>
  <si>
    <t>Denominator of ROA and leverage ratios</t>
  </si>
  <si>
    <t>Total loans before deducting reserves</t>
  </si>
  <si>
    <t>Used in loan-to-asset and loan-to-deposit ratios</t>
  </si>
  <si>
    <t>Reserve for expected loan losses</t>
  </si>
  <si>
    <t>Credit risk cushion</t>
  </si>
  <si>
    <t>Customer deposit liabilities</t>
  </si>
  <si>
    <t>Primary funding source</t>
  </si>
  <si>
    <t>Total shareholder equity</t>
  </si>
  <si>
    <t>Used in ROE and equity multiplier</t>
  </si>
  <si>
    <t>PNC</t>
  </si>
  <si>
    <t>RI p.8</t>
  </si>
  <si>
    <t>TRUIST</t>
  </si>
  <si>
    <t>RC-C p.24</t>
  </si>
  <si>
    <t>RC-E p.32</t>
  </si>
  <si>
    <t>Community Trust KY</t>
  </si>
  <si>
    <t>RCON2170</t>
  </si>
  <si>
    <t>RC p.4</t>
  </si>
  <si>
    <t>RCON2122</t>
  </si>
  <si>
    <t>RC-C p.16</t>
  </si>
  <si>
    <t>RCON3123</t>
  </si>
  <si>
    <t>RC-E p.20</t>
  </si>
  <si>
    <t>RCON3210</t>
  </si>
  <si>
    <t>RC p.5</t>
  </si>
  <si>
    <t>Formulas</t>
  </si>
  <si>
    <t>Rockland Trust</t>
  </si>
  <si>
    <t>RIADJJ33*</t>
  </si>
  <si>
    <t>RIAD4230</t>
  </si>
  <si>
    <t>Table 1: 6-Year Profitability &amp; Stability</t>
  </si>
  <si>
    <t>Avg ROA</t>
  </si>
  <si>
    <t>ROA Std Dev</t>
  </si>
  <si>
    <t>Avg ROE</t>
  </si>
  <si>
    <t>ROE Std Dev</t>
  </si>
  <si>
    <t>Table 2: Risk &amp; Leverage Snapshot (2025)</t>
  </si>
  <si>
    <t>Loan/Asset (2025)</t>
  </si>
  <si>
    <t>Loan/Deposit (2025)</t>
  </si>
  <si>
    <t>Equity Multiplier (2025)</t>
  </si>
  <si>
    <t>TABLE 3 — Revenue Structure (2025)</t>
  </si>
  <si>
    <t>NII (2025)</t>
  </si>
  <si>
    <t>Noninterest Income (2025)</t>
  </si>
  <si>
    <t>Efficiency Ratio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</si>
</sst>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3" fontId="4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44" fontId="2" fillId="0" borderId="0" xfId="1" applyFont="1"/>
    <xf numFmtId="44" fontId="0" fillId="0" borderId="0" xfId="1" applyFont="1"/>
    <xf numFmtId="0" fontId="0" fillId="0" borderId="0" xfId="1" applyNumberFormat="1" applyFont="1"/>
    <xf numFmtId="44" fontId="0" fillId="0" borderId="0" xfId="0" applyNumberFormat="1"/>
    <xf numFmtId="0" fontId="8" fillId="0" borderId="0" xfId="0" applyFont="1"/>
  </cellXfs>
  <cellStyles count="2">
    <cellStyle name="Currency" xfId="1" builtinId="4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Table 1: 6-Year Profitability &amp; Stability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FIN432_US_Commercial_Bank_Finan!$B$2</c:f>
              <c:strCache>
                <c:ptCount val="1"/>
                <c:pt idx="0">
                  <c:v>Avg ROA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FIN432_US_Commercial_Bank_Finan!$A$3:$A$8</c:f>
              <c:strCache>
                <c:ptCount val="6"/>
                <c:pt idx="0">
                  <c:v>JPM</c:v>
                </c:pt>
                <c:pt idx="1">
                  <c:v>BAC</c:v>
                </c:pt>
                <c:pt idx="2">
                  <c:v>PNC</c:v>
                </c:pt>
                <c:pt idx="3">
                  <c:v>TRUIST</c:v>
                </c:pt>
                <c:pt idx="4">
                  <c:v>Community Trust KY</c:v>
                </c:pt>
                <c:pt idx="5">
                  <c:v>Rockland Trust</c:v>
                </c:pt>
              </c:strCache>
            </c:strRef>
          </c:cat>
          <c:val>
            <c:numRef>
              <c:f>FIN432_US_Commercial_Bank_Finan!$B$3:$B$8</c:f>
              <c:numCache>
                <c:formatCode>General</c:formatCode>
                <c:ptCount val="6"/>
                <c:pt idx="0">
                  <c:v>1.1841694669683182E-2</c:v>
                </c:pt>
                <c:pt idx="1">
                  <c:v>5.6230486484000135E-2</c:v>
                </c:pt>
                <c:pt idx="2">
                  <c:v>1.0967964609737061E-2</c:v>
                </c:pt>
                <c:pt idx="3">
                  <c:v>8.6213382500909732E-3</c:v>
                </c:pt>
                <c:pt idx="4">
                  <c:v>1.4750505700100664E-2</c:v>
                </c:pt>
                <c:pt idx="5">
                  <c:v>1.064726272592933E-2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B-8A4F-A044-F2EE2DDC5C0B}"/>
            </c:ext>
          </c:extLst>
        </c:ser>
        <c:ser>
          <c:idx val="1"/>
          <c:order val="1"/>
          <c:tx>
            <c:strRef>
              <c:f>FIN432_US_Commercial_Bank_Finan!$C$2</c:f>
              <c:strCache>
                <c:ptCount val="1"/>
                <c:pt idx="0">
                  <c:v>ROA Std Dev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FIN432_US_Commercial_Bank_Finan!$A$3:$A$8</c:f>
              <c:strCache>
                <c:ptCount val="6"/>
                <c:pt idx="0">
                  <c:v>JPM</c:v>
                </c:pt>
                <c:pt idx="1">
                  <c:v>BAC</c:v>
                </c:pt>
                <c:pt idx="2">
                  <c:v>PNC</c:v>
                </c:pt>
                <c:pt idx="3">
                  <c:v>TRUIST</c:v>
                </c:pt>
                <c:pt idx="4">
                  <c:v>Community Trust KY</c:v>
                </c:pt>
                <c:pt idx="5">
                  <c:v>Rockland Trust</c:v>
                </c:pt>
              </c:strCache>
            </c:strRef>
          </c:cat>
          <c:val>
            <c:numRef>
              <c:f>FIN432_US_Commercial_Bank_Finan!$C$3:$C$8</c:f>
              <c:numCache>
                <c:formatCode>General</c:formatCode>
                <c:ptCount val="6"/>
                <c:pt idx="0">
                  <c:v>3.1988937722166643E-3</c:v>
                </c:pt>
                <c:pt idx="1">
                  <c:v>1.0866529572605078E-2</c:v>
                </c:pt>
                <c:pt idx="2">
                  <c:v>1.1907648185425885E-3</c:v>
                </c:pt>
                <c:pt idx="3">
                  <c:v>3.0092656118360641E-3</c:v>
                </c:pt>
                <c:pt idx="4">
                  <c:v>1.3723664536373461E-3</c:v>
                </c:pt>
                <c:pt idx="5">
                  <c:v>2.5385426278768529E-3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9B-8A4F-A044-F2EE2DDC5C0B}"/>
            </c:ext>
          </c:extLst>
        </c:ser>
        <c:ser>
          <c:idx val="2"/>
          <c:order val="2"/>
          <c:tx>
            <c:strRef>
              <c:f>FIN432_US_Commercial_Bank_Finan!$D$2</c:f>
              <c:strCache>
                <c:ptCount val="1"/>
                <c:pt idx="0">
                  <c:v>Avg ROE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FIN432_US_Commercial_Bank_Finan!$A$3:$A$8</c:f>
              <c:strCache>
                <c:ptCount val="6"/>
                <c:pt idx="0">
                  <c:v>JPM</c:v>
                </c:pt>
                <c:pt idx="1">
                  <c:v>BAC</c:v>
                </c:pt>
                <c:pt idx="2">
                  <c:v>PNC</c:v>
                </c:pt>
                <c:pt idx="3">
                  <c:v>TRUIST</c:v>
                </c:pt>
                <c:pt idx="4">
                  <c:v>Community Trust KY</c:v>
                </c:pt>
                <c:pt idx="5">
                  <c:v>Rockland Trust</c:v>
                </c:pt>
              </c:strCache>
            </c:strRef>
          </c:cat>
          <c:val>
            <c:numRef>
              <c:f>FIN432_US_Commercial_Bank_Finan!$D$3:$D$8</c:f>
              <c:numCache>
                <c:formatCode>General</c:formatCode>
                <c:ptCount val="6"/>
                <c:pt idx="0">
                  <c:v>0.14103247415983208</c:v>
                </c:pt>
                <c:pt idx="1">
                  <c:v>0.67347165294891098</c:v>
                </c:pt>
                <c:pt idx="2">
                  <c:v>0.11213435735569728</c:v>
                </c:pt>
                <c:pt idx="3">
                  <c:v>9.1699739168193184E-2</c:v>
                </c:pt>
                <c:pt idx="4">
                  <c:v>0.14747556006178975</c:v>
                </c:pt>
                <c:pt idx="5">
                  <c:v>8.0940272326248675E-2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9B-8A4F-A044-F2EE2DDC5C0B}"/>
            </c:ext>
          </c:extLst>
        </c:ser>
        <c:ser>
          <c:idx val="3"/>
          <c:order val="3"/>
          <c:tx>
            <c:strRef>
              <c:f>FIN432_US_Commercial_Bank_Finan!$E$2</c:f>
              <c:strCache>
                <c:ptCount val="1"/>
                <c:pt idx="0">
                  <c:v>ROE Std Dev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FIN432_US_Commercial_Bank_Finan!$A$3:$A$8</c:f>
              <c:strCache>
                <c:ptCount val="6"/>
                <c:pt idx="0">
                  <c:v>JPM</c:v>
                </c:pt>
                <c:pt idx="1">
                  <c:v>BAC</c:v>
                </c:pt>
                <c:pt idx="2">
                  <c:v>PNC</c:v>
                </c:pt>
                <c:pt idx="3">
                  <c:v>TRUIST</c:v>
                </c:pt>
                <c:pt idx="4">
                  <c:v>Community Trust KY</c:v>
                </c:pt>
                <c:pt idx="5">
                  <c:v>Rockland Trust</c:v>
                </c:pt>
              </c:strCache>
            </c:strRef>
          </c:cat>
          <c:val>
            <c:numRef>
              <c:f>FIN432_US_Commercial_Bank_Finan!$E$3:$E$8</c:f>
              <c:numCache>
                <c:formatCode>General</c:formatCode>
                <c:ptCount val="6"/>
                <c:pt idx="0">
                  <c:v>3.5075285996803415E-2</c:v>
                </c:pt>
                <c:pt idx="1">
                  <c:v>0.12048889103716985</c:v>
                </c:pt>
                <c:pt idx="2">
                  <c:v>1.1381736724637631E-2</c:v>
                </c:pt>
                <c:pt idx="3">
                  <c:v>3.2705823798060564E-2</c:v>
                </c:pt>
                <c:pt idx="4">
                  <c:v>1.288836617980667E-2</c:v>
                </c:pt>
                <c:pt idx="5">
                  <c:v>1.6445307067099513E-2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9B-8A4F-A044-F2EE2DDC5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5526911"/>
        <c:axId val="1046265439"/>
      </c:barChart>
      <c:catAx>
        <c:axId val="104552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265439"/>
        <c:crosses val="autoZero"/>
        <c:auto val="1"/>
        <c:lblAlgn val="ctr"/>
        <c:lblOffset val="100"/>
        <c:noMultiLvlLbl val="0"/>
      </c:catAx>
      <c:valAx>
        <c:axId val="104626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52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Table 2: Risk &amp; Leverage Snapshot (2025)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FIN432_US_Commercial_Bank_Finan!$B$11</c:f>
              <c:strCache>
                <c:ptCount val="1"/>
                <c:pt idx="0">
                  <c:v>Loan/Asset (2025)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FIN432_US_Commercial_Bank_Finan!$A$12:$A$17</c:f>
              <c:strCache>
                <c:ptCount val="6"/>
                <c:pt idx="0">
                  <c:v>JPM</c:v>
                </c:pt>
                <c:pt idx="1">
                  <c:v>BAC</c:v>
                </c:pt>
                <c:pt idx="2">
                  <c:v>PNC</c:v>
                </c:pt>
                <c:pt idx="3">
                  <c:v>TRUIST</c:v>
                </c:pt>
                <c:pt idx="4">
                  <c:v>Community Trust KY</c:v>
                </c:pt>
                <c:pt idx="5">
                  <c:v>Rockland Trust</c:v>
                </c:pt>
              </c:strCache>
            </c:strRef>
          </c:cat>
          <c:val>
            <c:numRef>
              <c:f>FIN432_US_Commercial_Bank_Finan!$B$12:$B$17</c:f>
              <c:numCache>
                <c:formatCode>General</c:formatCode>
                <c:ptCount val="6"/>
                <c:pt idx="0">
                  <c:v>0.37691630816379745</c:v>
                </c:pt>
                <c:pt idx="1">
                  <c:v>0.62276975361087505</c:v>
                </c:pt>
                <c:pt idx="2">
                  <c:v>0.57836025241539502</c:v>
                </c:pt>
                <c:pt idx="3">
                  <c:v>0.59387831280328485</c:v>
                </c:pt>
                <c:pt idx="4">
                  <c:v>0.69386474169928491</c:v>
                </c:pt>
                <c:pt idx="5">
                  <c:v>0.80915578039564739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1-E24B-8098-90A863CF3D86}"/>
            </c:ext>
          </c:extLst>
        </c:ser>
        <c:ser>
          <c:idx val="1"/>
          <c:order val="1"/>
          <c:tx>
            <c:strRef>
              <c:f>FIN432_US_Commercial_Bank_Finan!$C$11</c:f>
              <c:strCache>
                <c:ptCount val="1"/>
                <c:pt idx="0">
                  <c:v>Loan/Deposit (2025)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FIN432_US_Commercial_Bank_Finan!$A$12:$A$17</c:f>
              <c:strCache>
                <c:ptCount val="6"/>
                <c:pt idx="0">
                  <c:v>JPM</c:v>
                </c:pt>
                <c:pt idx="1">
                  <c:v>BAC</c:v>
                </c:pt>
                <c:pt idx="2">
                  <c:v>PNC</c:v>
                </c:pt>
                <c:pt idx="3">
                  <c:v>TRUIST</c:v>
                </c:pt>
                <c:pt idx="4">
                  <c:v>Community Trust KY</c:v>
                </c:pt>
                <c:pt idx="5">
                  <c:v>Rockland Trust</c:v>
                </c:pt>
              </c:strCache>
            </c:strRef>
          </c:cat>
          <c:val>
            <c:numRef>
              <c:f>FIN432_US_Commercial_Bank_Finan!$C$12:$C$17</c:f>
              <c:numCache>
                <c:formatCode>General</c:formatCode>
                <c:ptCount val="6"/>
                <c:pt idx="0">
                  <c:v>0.61368416221204802</c:v>
                </c:pt>
                <c:pt idx="1">
                  <c:v>0.69150943396226416</c:v>
                </c:pt>
                <c:pt idx="2">
                  <c:v>0.73693633610012244</c:v>
                </c:pt>
                <c:pt idx="3">
                  <c:v>0.77176813000242539</c:v>
                </c:pt>
                <c:pt idx="4">
                  <c:v>0.7928689877684858</c:v>
                </c:pt>
                <c:pt idx="5">
                  <c:v>0.93490084434939946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81-E24B-8098-90A863CF3D86}"/>
            </c:ext>
          </c:extLst>
        </c:ser>
        <c:ser>
          <c:idx val="2"/>
          <c:order val="2"/>
          <c:tx>
            <c:strRef>
              <c:f>FIN432_US_Commercial_Bank_Finan!$D$11</c:f>
              <c:strCache>
                <c:ptCount val="1"/>
                <c:pt idx="0">
                  <c:v>Equity Multiplier (2025)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FIN432_US_Commercial_Bank_Finan!$A$12:$A$17</c:f>
              <c:strCache>
                <c:ptCount val="6"/>
                <c:pt idx="0">
                  <c:v>JPM</c:v>
                </c:pt>
                <c:pt idx="1">
                  <c:v>BAC</c:v>
                </c:pt>
                <c:pt idx="2">
                  <c:v>PNC</c:v>
                </c:pt>
                <c:pt idx="3">
                  <c:v>TRUIST</c:v>
                </c:pt>
                <c:pt idx="4">
                  <c:v>Community Trust KY</c:v>
                </c:pt>
                <c:pt idx="5">
                  <c:v>Rockland Trust</c:v>
                </c:pt>
              </c:strCache>
            </c:strRef>
          </c:cat>
          <c:val>
            <c:numRef>
              <c:f>FIN432_US_Commercial_Bank_Finan!$D$12:$D$17</c:f>
              <c:numCache>
                <c:formatCode>General</c:formatCode>
                <c:ptCount val="6"/>
                <c:pt idx="0">
                  <c:v>11.524872872628961</c:v>
                </c:pt>
                <c:pt idx="1">
                  <c:v>11.653465346534654</c:v>
                </c:pt>
                <c:pt idx="2">
                  <c:v>9.8016152204590359</c:v>
                </c:pt>
                <c:pt idx="3">
                  <c:v>10.80241935483871</c:v>
                </c:pt>
                <c:pt idx="4">
                  <c:v>9.7413205979401578</c:v>
                </c:pt>
                <c:pt idx="5">
                  <c:v>9.8802415245495236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81-E24B-8098-90A863CF3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2157631"/>
        <c:axId val="1391698799"/>
      </c:barChart>
      <c:catAx>
        <c:axId val="139215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698799"/>
        <c:crosses val="autoZero"/>
        <c:auto val="1"/>
        <c:lblAlgn val="ctr"/>
        <c:lblOffset val="100"/>
        <c:noMultiLvlLbl val="0"/>
      </c:catAx>
      <c:valAx>
        <c:axId val="139169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15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Table 3: Revenue Structure (2025)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FIN432_US_Commercial_Bank_Finan!$B$20</c:f>
              <c:strCache>
                <c:ptCount val="1"/>
                <c:pt idx="0">
                  <c:v>NII (2025)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FIN432_US_Commercial_Bank_Finan!$A$21:$A$26</c:f>
              <c:strCache>
                <c:ptCount val="6"/>
                <c:pt idx="0">
                  <c:v>JPM</c:v>
                </c:pt>
                <c:pt idx="1">
                  <c:v>BAC</c:v>
                </c:pt>
                <c:pt idx="2">
                  <c:v>PNC</c:v>
                </c:pt>
                <c:pt idx="3">
                  <c:v>TRUIST</c:v>
                </c:pt>
                <c:pt idx="4">
                  <c:v>Community Trust KY</c:v>
                </c:pt>
                <c:pt idx="5">
                  <c:v>Rockland Trust</c:v>
                </c:pt>
              </c:strCache>
            </c:strRef>
          </c:cat>
          <c:val>
            <c:numRef>
              <c:f>FIN432_US_Commercial_Bank_Finan!$B$21:$B$26</c:f>
              <c:numCache>
                <c:formatCode>_("$"* #,##0.00_);_("$"* \(#,##0.00\);_("$"* "-"??_);_(@_)</c:formatCode>
                <c:ptCount val="6"/>
                <c:pt idx="0">
                  <c:v>97846000</c:v>
                </c:pt>
                <c:pt idx="1">
                  <c:v>238000</c:v>
                </c:pt>
                <c:pt idx="2">
                  <c:v>15135750</c:v>
                </c:pt>
                <c:pt idx="3">
                  <c:v>14812000</c:v>
                </c:pt>
                <c:pt idx="4">
                  <c:v>221396</c:v>
                </c:pt>
                <c:pt idx="5">
                  <c:v>575302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3-A649-93E4-2E8B6FB9DD42}"/>
            </c:ext>
          </c:extLst>
        </c:ser>
        <c:ser>
          <c:idx val="1"/>
          <c:order val="1"/>
          <c:tx>
            <c:strRef>
              <c:f>FIN432_US_Commercial_Bank_Finan!$C$20</c:f>
              <c:strCache>
                <c:ptCount val="1"/>
                <c:pt idx="0">
                  <c:v>Noninterest Income (2025)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FIN432_US_Commercial_Bank_Finan!$A$21:$A$26</c:f>
              <c:strCache>
                <c:ptCount val="6"/>
                <c:pt idx="0">
                  <c:v>JPM</c:v>
                </c:pt>
                <c:pt idx="1">
                  <c:v>BAC</c:v>
                </c:pt>
                <c:pt idx="2">
                  <c:v>PNC</c:v>
                </c:pt>
                <c:pt idx="3">
                  <c:v>TRUIST</c:v>
                </c:pt>
                <c:pt idx="4">
                  <c:v>Community Trust KY</c:v>
                </c:pt>
                <c:pt idx="5">
                  <c:v>Rockland Trust</c:v>
                </c:pt>
              </c:strCache>
            </c:strRef>
          </c:cat>
          <c:val>
            <c:numRef>
              <c:f>FIN432_US_Commercial_Bank_Finan!$C$21:$C$26</c:f>
              <c:numCache>
                <c:formatCode>_("$"* #,##0.00_);_("$"* \(#,##0.00\);_("$"* "-"??_);_(@_)</c:formatCode>
                <c:ptCount val="6"/>
                <c:pt idx="0">
                  <c:v>66240000</c:v>
                </c:pt>
                <c:pt idx="1">
                  <c:v>1000</c:v>
                </c:pt>
                <c:pt idx="2">
                  <c:v>7780792</c:v>
                </c:pt>
                <c:pt idx="3">
                  <c:v>4527000</c:v>
                </c:pt>
                <c:pt idx="4">
                  <c:v>44791</c:v>
                </c:pt>
                <c:pt idx="5">
                  <c:v>120908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A3-A649-93E4-2E8B6FB9D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4783728"/>
        <c:axId val="1093135983"/>
      </c:barChart>
      <c:catAx>
        <c:axId val="414783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135983"/>
        <c:crosses val="autoZero"/>
        <c:auto val="1"/>
        <c:lblAlgn val="ctr"/>
        <c:lblOffset val="100"/>
        <c:noMultiLvlLbl val="0"/>
      </c:catAx>
      <c:valAx>
        <c:axId val="1093135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78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0</xdr:row>
      <xdr:rowOff>38100</xdr:rowOff>
    </xdr:from>
    <xdr:to>
      <xdr:col>12</xdr:col>
      <xdr:colOff>533400</xdr:colOff>
      <xdr:row>23</xdr:row>
      <xdr:rowOff>127000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31D9F644-F497-D0AF-E9BB-F6902B0E6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114300</xdr:rowOff>
    </xdr:from>
    <xdr:to>
      <xdr:col>12</xdr:col>
      <xdr:colOff>527050</xdr:colOff>
      <xdr:row>50</xdr:row>
      <xdr:rowOff>190500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64F647DB-44BB-6A65-D9A7-0C28DBA0A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501650</xdr:colOff>
      <xdr:row>0</xdr:row>
      <xdr:rowOff>0</xdr:rowOff>
    </xdr:from>
    <xdr:to>
      <xdr:col>27</xdr:col>
      <xdr:colOff>711200</xdr:colOff>
      <xdr:row>29</xdr:row>
      <xdr:rowOff>165100</xdr:rowOff>
    </xdr:to>
    <xdr:graphicFrame macro="">
      <xdr:nvGraphicFramePr>
        <xdr:cNvPr id="4" name="Chart 9">
          <a:extLst>
            <a:ext uri="{FF2B5EF4-FFF2-40B4-BE49-F238E27FC236}">
              <a16:creationId xmlns:a16="http://schemas.microsoft.com/office/drawing/2014/main" id="{028B790C-0135-4BC6-4C23-521C56BFD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34517C-A56E-A049-90EA-9AD8D1ED3D01}" name="Table4" displayName="Table4" ref="I2:M16" totalsRowShown="0" headerRowDxfId="0">
  <autoFilter ref="I2:M16" xr:uid="{0834517C-A56E-A049-90EA-9AD8D1ED3D01}"/>
  <tableColumns count="5">
    <tableColumn id="1" xr3:uid="{1DE4E01F-13F9-4745-8750-BB7319937B4C}" name="Category"/>
    <tableColumn id="2" xr3:uid="{1C9AAFAB-6DD2-124F-97AA-1D0B872DC953}" name="Code / Term"/>
    <tableColumn id="3" xr3:uid="{A7588769-4D13-B647-A5F8-64B8F433B261}" name="Full Name"/>
    <tableColumn id="4" xr3:uid="{2B292446-4749-4944-935F-F9562262BC70}" name="What It Represents"/>
    <tableColumn id="5" xr3:uid="{AF501033-1BEC-2649-AC88-2B0524EC5801}" name="Why It Matters in Analys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24AB-948F-4C41-8FD5-CD4BC495619E}">
  <dimension ref="A1:O362"/>
  <sheetViews>
    <sheetView tabSelected="1" topLeftCell="A48" workbookViewId="0">
      <selection activeCell="D70" sqref="D70"/>
    </sheetView>
  </sheetViews>
  <sheetFormatPr baseColWidth="10" defaultRowHeight="16" x14ac:dyDescent="0.2"/>
  <cols>
    <col min="1" max="1" width="51" bestFit="1" customWidth="1"/>
    <col min="2" max="2" width="5.1640625" bestFit="1" customWidth="1"/>
    <col min="3" max="3" width="8.6640625" bestFit="1" customWidth="1"/>
    <col min="4" max="4" width="27.33203125" bestFit="1" customWidth="1"/>
    <col min="5" max="5" width="10.33203125" bestFit="1" customWidth="1"/>
    <col min="6" max="6" width="12.6640625" bestFit="1" customWidth="1"/>
    <col min="7" max="7" width="11.33203125" bestFit="1" customWidth="1"/>
    <col min="9" max="9" width="49.33203125" bestFit="1" customWidth="1"/>
    <col min="10" max="10" width="13.5" bestFit="1" customWidth="1"/>
    <col min="11" max="11" width="33.1640625" bestFit="1" customWidth="1"/>
    <col min="12" max="12" width="40.83203125" bestFit="1" customWidth="1"/>
    <col min="13" max="13" width="43.5" bestFit="1" customWidth="1"/>
    <col min="14" max="14" width="21" bestFit="1" customWidth="1"/>
    <col min="15" max="15" width="11.33203125" bestFit="1" customWidth="1"/>
  </cols>
  <sheetData>
    <row r="1" spans="1:15" s="8" customFormat="1" ht="27" x14ac:dyDescent="0.35">
      <c r="A1" s="8" t="s">
        <v>54</v>
      </c>
      <c r="I1" s="8" t="s">
        <v>55</v>
      </c>
      <c r="J1" s="7"/>
      <c r="K1" s="7"/>
      <c r="L1" s="7"/>
      <c r="M1" s="7"/>
      <c r="N1" s="7"/>
      <c r="O1" s="7"/>
    </row>
    <row r="2" spans="1:15" s="7" customFormat="1" ht="19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I2" s="1" t="s">
        <v>56</v>
      </c>
      <c r="J2" s="1" t="s">
        <v>57</v>
      </c>
      <c r="K2" s="1" t="s">
        <v>58</v>
      </c>
      <c r="L2" s="1" t="s">
        <v>59</v>
      </c>
      <c r="M2" s="1" t="s">
        <v>60</v>
      </c>
      <c r="N2"/>
      <c r="O2"/>
    </row>
    <row r="3" spans="1:15" x14ac:dyDescent="0.2">
      <c r="A3" t="s">
        <v>14</v>
      </c>
      <c r="B3">
        <v>2025</v>
      </c>
      <c r="C3" t="s">
        <v>15</v>
      </c>
      <c r="D3" t="s">
        <v>16</v>
      </c>
      <c r="E3" t="s">
        <v>17</v>
      </c>
      <c r="F3" s="3">
        <v>49644000</v>
      </c>
      <c r="G3" t="s">
        <v>18</v>
      </c>
      <c r="I3" t="s">
        <v>2</v>
      </c>
      <c r="J3" t="s">
        <v>15</v>
      </c>
      <c r="K3" t="s">
        <v>61</v>
      </c>
      <c r="L3" t="s">
        <v>62</v>
      </c>
      <c r="M3" t="s">
        <v>63</v>
      </c>
    </row>
    <row r="4" spans="1:15" x14ac:dyDescent="0.2">
      <c r="A4" t="s">
        <v>14</v>
      </c>
      <c r="B4">
        <v>2025</v>
      </c>
      <c r="C4" t="s">
        <v>15</v>
      </c>
      <c r="D4" t="s">
        <v>19</v>
      </c>
      <c r="E4" t="s">
        <v>20</v>
      </c>
      <c r="F4" s="3">
        <v>97846000</v>
      </c>
      <c r="G4" t="s">
        <v>21</v>
      </c>
      <c r="I4" t="s">
        <v>2</v>
      </c>
      <c r="J4" t="s">
        <v>28</v>
      </c>
      <c r="K4" t="s">
        <v>64</v>
      </c>
      <c r="L4" t="s">
        <v>65</v>
      </c>
      <c r="M4" t="s">
        <v>66</v>
      </c>
    </row>
    <row r="5" spans="1:15" x14ac:dyDescent="0.2">
      <c r="A5" t="s">
        <v>14</v>
      </c>
      <c r="B5">
        <v>2025</v>
      </c>
      <c r="C5" t="s">
        <v>15</v>
      </c>
      <c r="D5" t="s">
        <v>24</v>
      </c>
      <c r="E5" t="s">
        <v>25</v>
      </c>
      <c r="F5" s="3">
        <v>66240000</v>
      </c>
      <c r="G5" t="s">
        <v>18</v>
      </c>
      <c r="I5" t="s">
        <v>2</v>
      </c>
      <c r="J5" t="s">
        <v>67</v>
      </c>
      <c r="K5" t="s">
        <v>68</v>
      </c>
      <c r="L5" t="s">
        <v>69</v>
      </c>
      <c r="M5" t="s">
        <v>70</v>
      </c>
    </row>
    <row r="6" spans="1:15" x14ac:dyDescent="0.2">
      <c r="A6" t="s">
        <v>14</v>
      </c>
      <c r="B6">
        <v>2025</v>
      </c>
      <c r="C6" t="s">
        <v>15</v>
      </c>
      <c r="D6" t="s">
        <v>26</v>
      </c>
      <c r="E6" t="s">
        <v>27</v>
      </c>
      <c r="F6" s="3">
        <v>86128000</v>
      </c>
      <c r="G6" t="s">
        <v>18</v>
      </c>
      <c r="I6" t="s">
        <v>2</v>
      </c>
      <c r="J6" t="s">
        <v>71</v>
      </c>
      <c r="K6" t="s">
        <v>72</v>
      </c>
      <c r="L6" t="s">
        <v>73</v>
      </c>
      <c r="M6" t="s">
        <v>74</v>
      </c>
    </row>
    <row r="7" spans="1:15" x14ac:dyDescent="0.2">
      <c r="A7" t="s">
        <v>14</v>
      </c>
      <c r="B7">
        <v>2025</v>
      </c>
      <c r="C7" t="s">
        <v>15</v>
      </c>
      <c r="D7" t="s">
        <v>22</v>
      </c>
      <c r="E7" t="s">
        <v>23</v>
      </c>
      <c r="F7" s="3">
        <v>13995000</v>
      </c>
      <c r="G7" t="s">
        <v>21</v>
      </c>
      <c r="I7" t="s">
        <v>4</v>
      </c>
      <c r="J7" t="s">
        <v>17</v>
      </c>
      <c r="K7" t="s">
        <v>16</v>
      </c>
      <c r="L7" t="s">
        <v>75</v>
      </c>
      <c r="M7" t="s">
        <v>76</v>
      </c>
    </row>
    <row r="8" spans="1:15" x14ac:dyDescent="0.2">
      <c r="A8" t="s">
        <v>14</v>
      </c>
      <c r="B8">
        <v>2025</v>
      </c>
      <c r="C8" t="s">
        <v>28</v>
      </c>
      <c r="D8" t="s">
        <v>13</v>
      </c>
      <c r="E8" t="s">
        <v>35</v>
      </c>
      <c r="F8" s="3">
        <v>3973004000</v>
      </c>
      <c r="G8" t="s">
        <v>41</v>
      </c>
      <c r="I8" t="s">
        <v>4</v>
      </c>
      <c r="J8" t="s">
        <v>20</v>
      </c>
      <c r="K8" t="s">
        <v>19</v>
      </c>
      <c r="L8" t="s">
        <v>77</v>
      </c>
      <c r="M8" t="s">
        <v>78</v>
      </c>
    </row>
    <row r="9" spans="1:15" x14ac:dyDescent="0.2">
      <c r="A9" t="s">
        <v>14</v>
      </c>
      <c r="B9">
        <v>2025</v>
      </c>
      <c r="C9" t="s">
        <v>28</v>
      </c>
      <c r="D9" t="s">
        <v>29</v>
      </c>
      <c r="E9" t="s">
        <v>30</v>
      </c>
      <c r="F9" s="3">
        <v>1497490000</v>
      </c>
      <c r="G9" t="s">
        <v>33</v>
      </c>
      <c r="I9" t="s">
        <v>4</v>
      </c>
      <c r="J9" t="s">
        <v>25</v>
      </c>
      <c r="K9" t="s">
        <v>24</v>
      </c>
      <c r="L9" t="s">
        <v>79</v>
      </c>
      <c r="M9" t="s">
        <v>80</v>
      </c>
    </row>
    <row r="10" spans="1:15" x14ac:dyDescent="0.2">
      <c r="A10" t="s">
        <v>14</v>
      </c>
      <c r="B10">
        <v>2025</v>
      </c>
      <c r="C10" t="s">
        <v>28</v>
      </c>
      <c r="D10" t="s">
        <v>31</v>
      </c>
      <c r="E10" t="s">
        <v>32</v>
      </c>
      <c r="F10" s="3">
        <v>25539000</v>
      </c>
      <c r="G10" t="s">
        <v>34</v>
      </c>
      <c r="I10" t="s">
        <v>4</v>
      </c>
      <c r="J10" t="s">
        <v>27</v>
      </c>
      <c r="K10" t="s">
        <v>26</v>
      </c>
      <c r="L10" t="s">
        <v>81</v>
      </c>
      <c r="M10" t="s">
        <v>82</v>
      </c>
    </row>
    <row r="11" spans="1:15" x14ac:dyDescent="0.2">
      <c r="A11" t="s">
        <v>14</v>
      </c>
      <c r="B11">
        <v>2025</v>
      </c>
      <c r="C11" t="s">
        <v>28</v>
      </c>
      <c r="D11" t="s">
        <v>36</v>
      </c>
      <c r="E11" t="s">
        <v>37</v>
      </c>
      <c r="F11" s="3">
        <v>2440164000</v>
      </c>
      <c r="G11" t="s">
        <v>42</v>
      </c>
      <c r="I11" t="s">
        <v>4</v>
      </c>
      <c r="J11" t="s">
        <v>23</v>
      </c>
      <c r="K11" t="s">
        <v>22</v>
      </c>
      <c r="L11" t="s">
        <v>83</v>
      </c>
      <c r="M11" t="s">
        <v>84</v>
      </c>
    </row>
    <row r="12" spans="1:15" x14ac:dyDescent="0.2">
      <c r="A12" t="s">
        <v>14</v>
      </c>
      <c r="B12">
        <v>2025</v>
      </c>
      <c r="C12" t="s">
        <v>28</v>
      </c>
      <c r="D12" t="s">
        <v>38</v>
      </c>
      <c r="E12" t="s">
        <v>39</v>
      </c>
      <c r="F12" s="3">
        <v>344733000</v>
      </c>
      <c r="G12" t="s">
        <v>43</v>
      </c>
      <c r="I12" t="s">
        <v>4</v>
      </c>
      <c r="J12" t="s">
        <v>35</v>
      </c>
      <c r="K12" t="s">
        <v>13</v>
      </c>
      <c r="L12" t="s">
        <v>85</v>
      </c>
      <c r="M12" t="s">
        <v>86</v>
      </c>
    </row>
    <row r="13" spans="1:15" x14ac:dyDescent="0.2">
      <c r="A13" t="s">
        <v>14</v>
      </c>
      <c r="B13">
        <v>2024</v>
      </c>
      <c r="C13" t="s">
        <v>15</v>
      </c>
      <c r="D13" t="s">
        <v>16</v>
      </c>
      <c r="E13" t="s">
        <v>17</v>
      </c>
      <c r="F13" s="3">
        <v>52502000</v>
      </c>
      <c r="G13" t="s">
        <v>40</v>
      </c>
      <c r="I13" t="s">
        <v>4</v>
      </c>
      <c r="J13" t="s">
        <v>30</v>
      </c>
      <c r="K13" t="s">
        <v>29</v>
      </c>
      <c r="L13" t="s">
        <v>87</v>
      </c>
      <c r="M13" t="s">
        <v>88</v>
      </c>
    </row>
    <row r="14" spans="1:15" x14ac:dyDescent="0.2">
      <c r="A14" t="s">
        <v>14</v>
      </c>
      <c r="B14">
        <v>2024</v>
      </c>
      <c r="C14" t="s">
        <v>15</v>
      </c>
      <c r="D14" t="s">
        <v>19</v>
      </c>
      <c r="E14" t="s">
        <v>20</v>
      </c>
      <c r="F14" s="3">
        <v>94192000</v>
      </c>
      <c r="G14" t="s">
        <v>21</v>
      </c>
      <c r="I14" t="s">
        <v>4</v>
      </c>
      <c r="J14" t="s">
        <v>32</v>
      </c>
      <c r="K14" t="s">
        <v>31</v>
      </c>
      <c r="L14" t="s">
        <v>89</v>
      </c>
      <c r="M14" t="s">
        <v>90</v>
      </c>
    </row>
    <row r="15" spans="1:15" x14ac:dyDescent="0.2">
      <c r="A15" t="s">
        <v>14</v>
      </c>
      <c r="B15">
        <v>2024</v>
      </c>
      <c r="C15" t="s">
        <v>15</v>
      </c>
      <c r="D15" t="s">
        <v>24</v>
      </c>
      <c r="E15" t="s">
        <v>25</v>
      </c>
      <c r="F15" s="3">
        <v>63459000</v>
      </c>
      <c r="G15" t="s">
        <v>18</v>
      </c>
      <c r="I15" t="s">
        <v>4</v>
      </c>
      <c r="J15" t="s">
        <v>37</v>
      </c>
      <c r="K15" t="s">
        <v>36</v>
      </c>
      <c r="L15" t="s">
        <v>91</v>
      </c>
      <c r="M15" t="s">
        <v>92</v>
      </c>
    </row>
    <row r="16" spans="1:15" x14ac:dyDescent="0.2">
      <c r="A16" t="s">
        <v>14</v>
      </c>
      <c r="B16">
        <v>2024</v>
      </c>
      <c r="C16" t="s">
        <v>15</v>
      </c>
      <c r="D16" t="s">
        <v>26</v>
      </c>
      <c r="E16" t="s">
        <v>27</v>
      </c>
      <c r="F16" s="3">
        <v>82964000</v>
      </c>
      <c r="G16" t="s">
        <v>18</v>
      </c>
      <c r="I16" t="s">
        <v>4</v>
      </c>
      <c r="J16" t="s">
        <v>39</v>
      </c>
      <c r="K16" t="s">
        <v>38</v>
      </c>
      <c r="L16" t="s">
        <v>93</v>
      </c>
      <c r="M16" t="s">
        <v>94</v>
      </c>
    </row>
    <row r="17" spans="1:7" x14ac:dyDescent="0.2">
      <c r="A17" t="s">
        <v>14</v>
      </c>
      <c r="B17">
        <v>2024</v>
      </c>
      <c r="C17" t="s">
        <v>15</v>
      </c>
      <c r="D17" t="s">
        <v>22</v>
      </c>
      <c r="E17" t="s">
        <v>23</v>
      </c>
      <c r="F17" s="3">
        <v>13439000</v>
      </c>
      <c r="G17" t="s">
        <v>21</v>
      </c>
    </row>
    <row r="18" spans="1:7" x14ac:dyDescent="0.2">
      <c r="A18" t="s">
        <v>14</v>
      </c>
      <c r="B18">
        <v>2024</v>
      </c>
      <c r="C18" t="s">
        <v>28</v>
      </c>
      <c r="D18" t="s">
        <v>13</v>
      </c>
      <c r="E18" t="s">
        <v>35</v>
      </c>
      <c r="F18" s="3">
        <v>3875396000</v>
      </c>
      <c r="G18" t="s">
        <v>41</v>
      </c>
    </row>
    <row r="19" spans="1:7" x14ac:dyDescent="0.2">
      <c r="A19" t="s">
        <v>14</v>
      </c>
      <c r="B19">
        <v>2024</v>
      </c>
      <c r="C19" t="s">
        <v>28</v>
      </c>
      <c r="D19" t="s">
        <v>29</v>
      </c>
      <c r="E19" t="s">
        <v>30</v>
      </c>
      <c r="F19" s="3">
        <v>1410623000</v>
      </c>
      <c r="G19" t="s">
        <v>33</v>
      </c>
    </row>
    <row r="20" spans="1:7" x14ac:dyDescent="0.2">
      <c r="A20" t="s">
        <v>14</v>
      </c>
      <c r="B20">
        <v>2024</v>
      </c>
      <c r="C20" t="s">
        <v>28</v>
      </c>
      <c r="D20" t="s">
        <v>31</v>
      </c>
      <c r="E20" t="s">
        <v>32</v>
      </c>
      <c r="F20" s="3">
        <v>23782000</v>
      </c>
      <c r="G20" t="s">
        <v>34</v>
      </c>
    </row>
    <row r="21" spans="1:7" x14ac:dyDescent="0.2">
      <c r="A21" t="s">
        <v>14</v>
      </c>
      <c r="B21">
        <v>2024</v>
      </c>
      <c r="C21" t="s">
        <v>28</v>
      </c>
      <c r="D21" t="s">
        <v>36</v>
      </c>
      <c r="E21" t="s">
        <v>37</v>
      </c>
      <c r="F21" s="3">
        <v>2379642000</v>
      </c>
      <c r="G21" t="s">
        <v>42</v>
      </c>
    </row>
    <row r="22" spans="1:7" x14ac:dyDescent="0.2">
      <c r="A22" t="s">
        <v>14</v>
      </c>
      <c r="B22">
        <v>2024</v>
      </c>
      <c r="C22" t="s">
        <v>28</v>
      </c>
      <c r="D22" t="s">
        <v>38</v>
      </c>
      <c r="E22" t="s">
        <v>39</v>
      </c>
      <c r="F22" s="3">
        <v>328451000</v>
      </c>
      <c r="G22" t="s">
        <v>43</v>
      </c>
    </row>
    <row r="23" spans="1:7" x14ac:dyDescent="0.2">
      <c r="A23" t="s">
        <v>14</v>
      </c>
      <c r="B23">
        <v>2023</v>
      </c>
      <c r="C23" t="s">
        <v>15</v>
      </c>
      <c r="D23" t="s">
        <v>16</v>
      </c>
      <c r="E23" t="s">
        <v>17</v>
      </c>
      <c r="F23" s="3">
        <v>49552000</v>
      </c>
      <c r="G23" t="s">
        <v>40</v>
      </c>
    </row>
    <row r="24" spans="1:7" x14ac:dyDescent="0.2">
      <c r="A24" t="s">
        <v>14</v>
      </c>
      <c r="B24">
        <v>2023</v>
      </c>
      <c r="C24" t="s">
        <v>15</v>
      </c>
      <c r="D24" t="s">
        <v>19</v>
      </c>
      <c r="E24" t="s">
        <v>20</v>
      </c>
      <c r="F24" s="3">
        <v>89283000</v>
      </c>
      <c r="G24" t="s">
        <v>21</v>
      </c>
    </row>
    <row r="25" spans="1:7" x14ac:dyDescent="0.2">
      <c r="A25" t="s">
        <v>14</v>
      </c>
      <c r="B25">
        <v>2023</v>
      </c>
      <c r="C25" t="s">
        <v>15</v>
      </c>
      <c r="D25" t="s">
        <v>24</v>
      </c>
      <c r="E25" t="s">
        <v>25</v>
      </c>
      <c r="F25" s="3">
        <v>60724000</v>
      </c>
      <c r="G25" t="s">
        <v>18</v>
      </c>
    </row>
    <row r="26" spans="1:7" x14ac:dyDescent="0.2">
      <c r="A26" t="s">
        <v>14</v>
      </c>
      <c r="B26">
        <v>2023</v>
      </c>
      <c r="C26" t="s">
        <v>15</v>
      </c>
      <c r="D26" t="s">
        <v>26</v>
      </c>
      <c r="E26" t="s">
        <v>27</v>
      </c>
      <c r="F26" s="3">
        <v>80173000</v>
      </c>
      <c r="G26" t="s">
        <v>18</v>
      </c>
    </row>
    <row r="27" spans="1:7" x14ac:dyDescent="0.2">
      <c r="A27" t="s">
        <v>14</v>
      </c>
      <c r="B27">
        <v>2023</v>
      </c>
      <c r="C27" t="s">
        <v>15</v>
      </c>
      <c r="D27" t="s">
        <v>22</v>
      </c>
      <c r="E27" t="s">
        <v>23</v>
      </c>
      <c r="F27" s="3">
        <v>8150000</v>
      </c>
      <c r="G27" t="s">
        <v>21</v>
      </c>
    </row>
    <row r="28" spans="1:7" x14ac:dyDescent="0.2">
      <c r="A28" t="s">
        <v>14</v>
      </c>
      <c r="B28">
        <v>2023</v>
      </c>
      <c r="C28" t="s">
        <v>28</v>
      </c>
      <c r="D28" t="s">
        <v>13</v>
      </c>
      <c r="E28" t="s">
        <v>35</v>
      </c>
      <c r="F28" s="3">
        <v>3736765000</v>
      </c>
      <c r="G28" t="s">
        <v>41</v>
      </c>
    </row>
    <row r="29" spans="1:7" x14ac:dyDescent="0.2">
      <c r="A29" t="s">
        <v>14</v>
      </c>
      <c r="B29">
        <v>2023</v>
      </c>
      <c r="C29" t="s">
        <v>28</v>
      </c>
      <c r="D29" t="s">
        <v>29</v>
      </c>
      <c r="E29" t="s">
        <v>30</v>
      </c>
      <c r="F29" s="3">
        <v>1341628000</v>
      </c>
      <c r="G29" t="s">
        <v>33</v>
      </c>
    </row>
    <row r="30" spans="1:7" x14ac:dyDescent="0.2">
      <c r="A30" t="s">
        <v>14</v>
      </c>
      <c r="B30">
        <v>2023</v>
      </c>
      <c r="C30" t="s">
        <v>28</v>
      </c>
      <c r="D30" t="s">
        <v>31</v>
      </c>
      <c r="E30" t="s">
        <v>32</v>
      </c>
      <c r="F30" s="3">
        <v>22503000</v>
      </c>
      <c r="G30" t="s">
        <v>34</v>
      </c>
    </row>
    <row r="31" spans="1:7" x14ac:dyDescent="0.2">
      <c r="A31" t="s">
        <v>14</v>
      </c>
      <c r="B31">
        <v>2023</v>
      </c>
      <c r="C31" t="s">
        <v>28</v>
      </c>
      <c r="D31" t="s">
        <v>36</v>
      </c>
      <c r="E31" t="s">
        <v>37</v>
      </c>
      <c r="F31" s="3">
        <v>2308845000</v>
      </c>
      <c r="G31" t="s">
        <v>42</v>
      </c>
    </row>
    <row r="32" spans="1:7" x14ac:dyDescent="0.2">
      <c r="A32" t="s">
        <v>14</v>
      </c>
      <c r="B32">
        <v>2023</v>
      </c>
      <c r="C32" t="s">
        <v>28</v>
      </c>
      <c r="D32" t="s">
        <v>38</v>
      </c>
      <c r="E32" t="s">
        <v>39</v>
      </c>
      <c r="F32" s="3">
        <v>299218000</v>
      </c>
      <c r="G32" t="s">
        <v>43</v>
      </c>
    </row>
    <row r="33" spans="1:7" x14ac:dyDescent="0.2">
      <c r="A33" t="s">
        <v>14</v>
      </c>
      <c r="B33">
        <v>2022</v>
      </c>
      <c r="C33" t="s">
        <v>15</v>
      </c>
      <c r="D33" t="s">
        <v>16</v>
      </c>
      <c r="E33" t="s">
        <v>17</v>
      </c>
      <c r="F33" s="3">
        <v>37676000</v>
      </c>
      <c r="G33" t="s">
        <v>40</v>
      </c>
    </row>
    <row r="34" spans="1:7" x14ac:dyDescent="0.2">
      <c r="A34" t="s">
        <v>14</v>
      </c>
      <c r="B34">
        <v>2022</v>
      </c>
      <c r="C34" t="s">
        <v>15</v>
      </c>
      <c r="D34" t="s">
        <v>19</v>
      </c>
      <c r="E34" t="s">
        <v>20</v>
      </c>
      <c r="F34" s="3">
        <v>67154000</v>
      </c>
      <c r="G34" t="s">
        <v>21</v>
      </c>
    </row>
    <row r="35" spans="1:7" x14ac:dyDescent="0.2">
      <c r="A35" t="s">
        <v>14</v>
      </c>
      <c r="B35">
        <v>2022</v>
      </c>
      <c r="C35" t="s">
        <v>15</v>
      </c>
      <c r="D35" t="s">
        <v>24</v>
      </c>
      <c r="E35" t="s">
        <v>25</v>
      </c>
      <c r="F35" s="3">
        <v>58832000</v>
      </c>
      <c r="G35" t="s">
        <v>18</v>
      </c>
    </row>
    <row r="36" spans="1:7" x14ac:dyDescent="0.2">
      <c r="A36" t="s">
        <v>14</v>
      </c>
      <c r="B36">
        <v>2022</v>
      </c>
      <c r="C36" t="s">
        <v>15</v>
      </c>
      <c r="D36" t="s">
        <v>26</v>
      </c>
      <c r="E36" t="s">
        <v>27</v>
      </c>
      <c r="F36" s="3">
        <v>77189000</v>
      </c>
      <c r="G36" t="s">
        <v>18</v>
      </c>
    </row>
    <row r="37" spans="1:7" x14ac:dyDescent="0.2">
      <c r="A37" t="s">
        <v>14</v>
      </c>
      <c r="B37">
        <v>2022</v>
      </c>
      <c r="C37" t="s">
        <v>15</v>
      </c>
      <c r="D37" t="s">
        <v>22</v>
      </c>
      <c r="E37" t="s">
        <v>23</v>
      </c>
      <c r="F37" s="3">
        <v>7122000</v>
      </c>
      <c r="G37" t="s">
        <v>21</v>
      </c>
    </row>
    <row r="38" spans="1:7" x14ac:dyDescent="0.2">
      <c r="A38" t="s">
        <v>14</v>
      </c>
      <c r="B38">
        <v>2022</v>
      </c>
      <c r="C38" t="s">
        <v>28</v>
      </c>
      <c r="D38" t="s">
        <v>13</v>
      </c>
      <c r="E38" t="s">
        <v>35</v>
      </c>
      <c r="F38" s="3">
        <v>3665743000</v>
      </c>
      <c r="G38" t="s">
        <v>41</v>
      </c>
    </row>
    <row r="39" spans="1:7" x14ac:dyDescent="0.2">
      <c r="A39" t="s">
        <v>14</v>
      </c>
      <c r="B39">
        <v>2022</v>
      </c>
      <c r="C39" t="s">
        <v>28</v>
      </c>
      <c r="D39" t="s">
        <v>29</v>
      </c>
      <c r="E39" t="s">
        <v>30</v>
      </c>
      <c r="F39" s="3">
        <v>1210388000</v>
      </c>
      <c r="G39" t="s">
        <v>33</v>
      </c>
    </row>
    <row r="40" spans="1:7" x14ac:dyDescent="0.2">
      <c r="A40" t="s">
        <v>14</v>
      </c>
      <c r="B40">
        <v>2022</v>
      </c>
      <c r="C40" t="s">
        <v>28</v>
      </c>
      <c r="D40" t="s">
        <v>31</v>
      </c>
      <c r="E40" t="s">
        <v>32</v>
      </c>
      <c r="F40" s="3">
        <v>20932000</v>
      </c>
      <c r="G40" t="s">
        <v>34</v>
      </c>
    </row>
    <row r="41" spans="1:7" x14ac:dyDescent="0.2">
      <c r="A41" t="s">
        <v>14</v>
      </c>
      <c r="B41">
        <v>2022</v>
      </c>
      <c r="C41" t="s">
        <v>28</v>
      </c>
      <c r="D41" t="s">
        <v>36</v>
      </c>
      <c r="E41" t="s">
        <v>37</v>
      </c>
      <c r="F41" s="3">
        <v>2334905000</v>
      </c>
      <c r="G41" t="s">
        <v>42</v>
      </c>
    </row>
    <row r="42" spans="1:7" x14ac:dyDescent="0.2">
      <c r="A42" t="s">
        <v>14</v>
      </c>
      <c r="B42">
        <v>2022</v>
      </c>
      <c r="C42" t="s">
        <v>28</v>
      </c>
      <c r="D42" t="s">
        <v>38</v>
      </c>
      <c r="E42" t="s">
        <v>39</v>
      </c>
      <c r="F42" s="3">
        <v>297936000</v>
      </c>
      <c r="G42" t="s">
        <v>43</v>
      </c>
    </row>
    <row r="43" spans="1:7" x14ac:dyDescent="0.2">
      <c r="A43" t="s">
        <v>14</v>
      </c>
      <c r="B43">
        <v>2021</v>
      </c>
      <c r="C43" t="s">
        <v>15</v>
      </c>
      <c r="D43" t="s">
        <v>16</v>
      </c>
      <c r="E43" t="s">
        <v>17</v>
      </c>
      <c r="F43" s="3">
        <v>48334000</v>
      </c>
      <c r="G43" t="s">
        <v>40</v>
      </c>
    </row>
    <row r="44" spans="1:7" x14ac:dyDescent="0.2">
      <c r="A44" t="s">
        <v>14</v>
      </c>
      <c r="B44">
        <v>2021</v>
      </c>
      <c r="C44" t="s">
        <v>15</v>
      </c>
      <c r="D44" t="s">
        <v>19</v>
      </c>
      <c r="E44" t="s">
        <v>20</v>
      </c>
      <c r="F44" s="3">
        <v>52966000</v>
      </c>
      <c r="G44" t="s">
        <v>21</v>
      </c>
    </row>
    <row r="45" spans="1:7" x14ac:dyDescent="0.2">
      <c r="A45" t="s">
        <v>14</v>
      </c>
      <c r="B45">
        <v>2021</v>
      </c>
      <c r="C45" t="s">
        <v>15</v>
      </c>
      <c r="D45" t="s">
        <v>24</v>
      </c>
      <c r="E45" t="s">
        <v>25</v>
      </c>
      <c r="F45" s="3">
        <v>59682000</v>
      </c>
      <c r="G45" t="s">
        <v>18</v>
      </c>
    </row>
    <row r="46" spans="1:7" x14ac:dyDescent="0.2">
      <c r="A46" t="s">
        <v>14</v>
      </c>
      <c r="B46">
        <v>2021</v>
      </c>
      <c r="C46" t="s">
        <v>15</v>
      </c>
      <c r="D46" t="s">
        <v>26</v>
      </c>
      <c r="E46" t="s">
        <v>27</v>
      </c>
      <c r="F46" s="3">
        <v>71802000</v>
      </c>
      <c r="G46" t="s">
        <v>18</v>
      </c>
    </row>
    <row r="47" spans="1:7" x14ac:dyDescent="0.2">
      <c r="A47" t="s">
        <v>14</v>
      </c>
      <c r="B47">
        <v>2021</v>
      </c>
      <c r="C47" t="s">
        <v>15</v>
      </c>
      <c r="D47" t="s">
        <v>22</v>
      </c>
      <c r="E47" t="s">
        <v>23</v>
      </c>
      <c r="F47" s="3">
        <v>-9339000</v>
      </c>
      <c r="G47" t="s">
        <v>21</v>
      </c>
    </row>
    <row r="48" spans="1:7" x14ac:dyDescent="0.2">
      <c r="A48" t="s">
        <v>14</v>
      </c>
      <c r="B48">
        <v>2021</v>
      </c>
      <c r="C48" t="s">
        <v>28</v>
      </c>
      <c r="D48" t="s">
        <v>13</v>
      </c>
      <c r="E48" t="s">
        <v>35</v>
      </c>
      <c r="F48" s="3">
        <v>3167893000</v>
      </c>
      <c r="G48" t="s">
        <v>41</v>
      </c>
    </row>
    <row r="49" spans="1:7" x14ac:dyDescent="0.2">
      <c r="A49" t="s">
        <v>14</v>
      </c>
      <c r="B49">
        <v>2021</v>
      </c>
      <c r="C49" t="s">
        <v>28</v>
      </c>
      <c r="D49" t="s">
        <v>29</v>
      </c>
      <c r="E49" t="s">
        <v>30</v>
      </c>
      <c r="F49" s="3">
        <v>1065070000</v>
      </c>
      <c r="G49" t="s">
        <v>33</v>
      </c>
    </row>
    <row r="50" spans="1:7" x14ac:dyDescent="0.2">
      <c r="A50" t="s">
        <v>14</v>
      </c>
      <c r="B50">
        <v>2021</v>
      </c>
      <c r="C50" t="s">
        <v>28</v>
      </c>
      <c r="D50" t="s">
        <v>31</v>
      </c>
      <c r="E50" t="s">
        <v>32</v>
      </c>
      <c r="F50" s="3">
        <v>19553000</v>
      </c>
      <c r="G50" t="s">
        <v>34</v>
      </c>
    </row>
    <row r="51" spans="1:7" x14ac:dyDescent="0.2">
      <c r="A51" t="s">
        <v>14</v>
      </c>
      <c r="B51">
        <v>2021</v>
      </c>
      <c r="C51" t="s">
        <v>28</v>
      </c>
      <c r="D51" t="s">
        <v>36</v>
      </c>
      <c r="E51" t="s">
        <v>37</v>
      </c>
      <c r="F51" s="3">
        <v>2373667000</v>
      </c>
      <c r="G51" t="s">
        <v>42</v>
      </c>
    </row>
    <row r="52" spans="1:7" x14ac:dyDescent="0.2">
      <c r="A52" t="s">
        <v>14</v>
      </c>
      <c r="B52">
        <v>2021</v>
      </c>
      <c r="C52" t="s">
        <v>28</v>
      </c>
      <c r="D52" t="s">
        <v>38</v>
      </c>
      <c r="E52" t="s">
        <v>39</v>
      </c>
      <c r="F52" s="3">
        <v>280360000</v>
      </c>
      <c r="G52" t="s">
        <v>43</v>
      </c>
    </row>
    <row r="53" spans="1:7" x14ac:dyDescent="0.2">
      <c r="A53" t="s">
        <v>14</v>
      </c>
      <c r="B53">
        <v>2020</v>
      </c>
      <c r="C53" t="s">
        <v>15</v>
      </c>
      <c r="D53" t="s">
        <v>16</v>
      </c>
      <c r="E53" t="s">
        <v>17</v>
      </c>
      <c r="F53" s="3">
        <v>21032000</v>
      </c>
      <c r="G53" t="s">
        <v>40</v>
      </c>
    </row>
    <row r="54" spans="1:7" x14ac:dyDescent="0.2">
      <c r="A54" t="s">
        <v>14</v>
      </c>
      <c r="B54">
        <v>2020</v>
      </c>
      <c r="C54" t="s">
        <v>15</v>
      </c>
      <c r="D54" t="s">
        <v>19</v>
      </c>
      <c r="E54" t="s">
        <v>20</v>
      </c>
      <c r="F54" s="3">
        <v>55294000</v>
      </c>
      <c r="G54" t="s">
        <v>21</v>
      </c>
    </row>
    <row r="55" spans="1:7" x14ac:dyDescent="0.2">
      <c r="A55" t="s">
        <v>14</v>
      </c>
      <c r="B55">
        <v>2020</v>
      </c>
      <c r="C55" t="s">
        <v>15</v>
      </c>
      <c r="D55" t="s">
        <v>24</v>
      </c>
      <c r="E55" t="s">
        <v>25</v>
      </c>
      <c r="F55" s="3">
        <v>61104000</v>
      </c>
      <c r="G55" t="s">
        <v>18</v>
      </c>
    </row>
    <row r="56" spans="1:7" x14ac:dyDescent="0.2">
      <c r="A56" t="s">
        <v>14</v>
      </c>
      <c r="B56">
        <v>2020</v>
      </c>
      <c r="C56" t="s">
        <v>15</v>
      </c>
      <c r="D56" t="s">
        <v>26</v>
      </c>
      <c r="E56" t="s">
        <v>27</v>
      </c>
      <c r="F56" s="3">
        <v>69354000</v>
      </c>
      <c r="G56" t="s">
        <v>18</v>
      </c>
    </row>
    <row r="57" spans="1:7" x14ac:dyDescent="0.2">
      <c r="A57" t="s">
        <v>14</v>
      </c>
      <c r="B57">
        <v>2020</v>
      </c>
      <c r="C57" t="s">
        <v>15</v>
      </c>
      <c r="D57" t="s">
        <v>22</v>
      </c>
      <c r="E57" t="s">
        <v>23</v>
      </c>
      <c r="F57" s="3">
        <v>17483000</v>
      </c>
      <c r="G57" t="s">
        <v>21</v>
      </c>
    </row>
    <row r="58" spans="1:7" x14ac:dyDescent="0.2">
      <c r="A58" t="s">
        <v>14</v>
      </c>
      <c r="B58">
        <v>2020</v>
      </c>
      <c r="C58" t="s">
        <v>28</v>
      </c>
      <c r="D58" t="s">
        <v>13</v>
      </c>
      <c r="E58" t="s">
        <v>35</v>
      </c>
      <c r="F58" s="3">
        <v>3386071000</v>
      </c>
      <c r="G58" t="s">
        <v>41</v>
      </c>
    </row>
    <row r="59" spans="1:7" x14ac:dyDescent="0.2">
      <c r="A59" t="s">
        <v>14</v>
      </c>
      <c r="B59">
        <v>2020</v>
      </c>
      <c r="C59" t="s">
        <v>28</v>
      </c>
      <c r="D59" t="s">
        <v>29</v>
      </c>
      <c r="E59" t="s">
        <v>30</v>
      </c>
      <c r="F59" s="3">
        <v>1037654000</v>
      </c>
      <c r="G59" t="s">
        <v>33</v>
      </c>
    </row>
    <row r="60" spans="1:7" x14ac:dyDescent="0.2">
      <c r="A60" t="s">
        <v>14</v>
      </c>
      <c r="B60">
        <v>2020</v>
      </c>
      <c r="C60" t="s">
        <v>28</v>
      </c>
      <c r="D60" t="s">
        <v>31</v>
      </c>
      <c r="E60" t="s">
        <v>32</v>
      </c>
      <c r="F60" s="3">
        <v>30530000</v>
      </c>
      <c r="G60" t="s">
        <v>34</v>
      </c>
    </row>
    <row r="61" spans="1:7" x14ac:dyDescent="0.2">
      <c r="A61" t="s">
        <v>14</v>
      </c>
      <c r="B61">
        <v>2020</v>
      </c>
      <c r="C61" t="s">
        <v>28</v>
      </c>
      <c r="D61" t="s">
        <v>36</v>
      </c>
      <c r="E61" t="s">
        <v>37</v>
      </c>
      <c r="F61" s="3">
        <v>2312125000</v>
      </c>
      <c r="G61" t="s">
        <v>42</v>
      </c>
    </row>
    <row r="62" spans="1:7" x14ac:dyDescent="0.2">
      <c r="A62" t="s">
        <v>14</v>
      </c>
      <c r="B62">
        <v>2020</v>
      </c>
      <c r="C62" t="s">
        <v>28</v>
      </c>
      <c r="D62" t="s">
        <v>38</v>
      </c>
      <c r="E62" t="s">
        <v>39</v>
      </c>
      <c r="F62" s="3">
        <v>270060000</v>
      </c>
      <c r="G62" t="s">
        <v>43</v>
      </c>
    </row>
    <row r="63" spans="1:7" x14ac:dyDescent="0.2">
      <c r="A63" t="s">
        <v>44</v>
      </c>
      <c r="B63">
        <v>2025</v>
      </c>
      <c r="C63" t="s">
        <v>15</v>
      </c>
      <c r="D63" t="s">
        <v>16</v>
      </c>
      <c r="E63" t="s">
        <v>17</v>
      </c>
      <c r="F63" s="3">
        <v>84000</v>
      </c>
      <c r="G63" t="s">
        <v>18</v>
      </c>
    </row>
    <row r="64" spans="1:7" x14ac:dyDescent="0.2">
      <c r="A64" t="s">
        <v>44</v>
      </c>
      <c r="B64">
        <v>2025</v>
      </c>
      <c r="C64" t="s">
        <v>15</v>
      </c>
      <c r="D64" t="s">
        <v>19</v>
      </c>
      <c r="E64" t="s">
        <v>20</v>
      </c>
      <c r="F64" s="3">
        <v>238000</v>
      </c>
      <c r="G64" t="s">
        <v>21</v>
      </c>
    </row>
    <row r="65" spans="1:7" x14ac:dyDescent="0.2">
      <c r="A65" t="s">
        <v>44</v>
      </c>
      <c r="B65">
        <v>2025</v>
      </c>
      <c r="C65" t="s">
        <v>15</v>
      </c>
      <c r="D65" t="s">
        <v>24</v>
      </c>
      <c r="E65" t="s">
        <v>25</v>
      </c>
      <c r="F65" s="3">
        <v>1000</v>
      </c>
      <c r="G65" t="s">
        <v>18</v>
      </c>
    </row>
    <row r="66" spans="1:7" x14ac:dyDescent="0.2">
      <c r="A66" t="s">
        <v>44</v>
      </c>
      <c r="B66">
        <v>2025</v>
      </c>
      <c r="C66" t="s">
        <v>15</v>
      </c>
      <c r="D66" t="s">
        <v>26</v>
      </c>
      <c r="E66" t="s">
        <v>27</v>
      </c>
      <c r="F66" s="3">
        <v>125000</v>
      </c>
      <c r="G66" t="s">
        <v>18</v>
      </c>
    </row>
    <row r="67" spans="1:7" x14ac:dyDescent="0.2">
      <c r="A67" t="s">
        <v>44</v>
      </c>
      <c r="B67">
        <v>2025</v>
      </c>
      <c r="C67" t="s">
        <v>15</v>
      </c>
      <c r="D67" t="s">
        <v>22</v>
      </c>
      <c r="E67" t="s">
        <v>23</v>
      </c>
      <c r="F67">
        <v>0</v>
      </c>
      <c r="G67" t="s">
        <v>21</v>
      </c>
    </row>
    <row r="68" spans="1:7" x14ac:dyDescent="0.2">
      <c r="A68" s="4" t="s">
        <v>44</v>
      </c>
      <c r="B68" s="4">
        <v>2025</v>
      </c>
      <c r="C68" s="4" t="s">
        <v>28</v>
      </c>
      <c r="D68" s="4" t="s">
        <v>13</v>
      </c>
      <c r="E68" s="4" t="s">
        <v>35</v>
      </c>
      <c r="F68" s="5">
        <v>1177000</v>
      </c>
      <c r="G68" s="4" t="s">
        <v>41</v>
      </c>
    </row>
    <row r="69" spans="1:7" x14ac:dyDescent="0.2">
      <c r="A69" s="4" t="s">
        <v>44</v>
      </c>
      <c r="B69" s="4">
        <v>2025</v>
      </c>
      <c r="C69" s="4" t="s">
        <v>28</v>
      </c>
      <c r="D69" s="4" t="s">
        <v>29</v>
      </c>
      <c r="E69" s="4" t="s">
        <v>30</v>
      </c>
      <c r="F69" s="5">
        <v>733000</v>
      </c>
      <c r="G69" s="4" t="s">
        <v>45</v>
      </c>
    </row>
    <row r="70" spans="1:7" x14ac:dyDescent="0.2">
      <c r="A70" s="4" t="s">
        <v>44</v>
      </c>
      <c r="B70" s="4">
        <v>2025</v>
      </c>
      <c r="C70" s="4" t="s">
        <v>28</v>
      </c>
      <c r="D70" s="4" t="s">
        <v>31</v>
      </c>
      <c r="E70" s="4" t="s">
        <v>32</v>
      </c>
      <c r="F70" s="5">
        <v>7000</v>
      </c>
      <c r="G70" s="4" t="s">
        <v>34</v>
      </c>
    </row>
    <row r="71" spans="1:7" x14ac:dyDescent="0.2">
      <c r="A71" s="4" t="s">
        <v>44</v>
      </c>
      <c r="B71" s="4">
        <v>2025</v>
      </c>
      <c r="C71" s="4" t="s">
        <v>28</v>
      </c>
      <c r="D71" s="4" t="s">
        <v>36</v>
      </c>
      <c r="E71" s="4" t="s">
        <v>37</v>
      </c>
      <c r="F71" s="5">
        <v>1060000</v>
      </c>
      <c r="G71" s="4" t="s">
        <v>42</v>
      </c>
    </row>
    <row r="72" spans="1:7" x14ac:dyDescent="0.2">
      <c r="A72" s="4" t="s">
        <v>44</v>
      </c>
      <c r="B72" s="4">
        <v>2025</v>
      </c>
      <c r="C72" s="4" t="s">
        <v>28</v>
      </c>
      <c r="D72" s="4" t="s">
        <v>38</v>
      </c>
      <c r="E72" s="4" t="s">
        <v>39</v>
      </c>
      <c r="F72" s="5">
        <v>101000</v>
      </c>
      <c r="G72" s="4" t="s">
        <v>43</v>
      </c>
    </row>
    <row r="73" spans="1:7" x14ac:dyDescent="0.2">
      <c r="A73" t="s">
        <v>44</v>
      </c>
      <c r="B73">
        <v>2024</v>
      </c>
      <c r="C73" t="s">
        <v>15</v>
      </c>
      <c r="D73" t="s">
        <v>16</v>
      </c>
      <c r="E73" t="s">
        <v>17</v>
      </c>
      <c r="F73" s="3">
        <v>69000</v>
      </c>
      <c r="G73" t="s">
        <v>18</v>
      </c>
    </row>
    <row r="74" spans="1:7" x14ac:dyDescent="0.2">
      <c r="A74" t="s">
        <v>44</v>
      </c>
      <c r="B74">
        <v>2024</v>
      </c>
      <c r="C74" t="s">
        <v>15</v>
      </c>
      <c r="D74" t="s">
        <v>19</v>
      </c>
      <c r="E74" t="s">
        <v>20</v>
      </c>
      <c r="F74" s="3">
        <v>169000</v>
      </c>
      <c r="G74" t="s">
        <v>21</v>
      </c>
    </row>
    <row r="75" spans="1:7" x14ac:dyDescent="0.2">
      <c r="A75" t="s">
        <v>44</v>
      </c>
      <c r="B75">
        <v>2024</v>
      </c>
      <c r="C75" t="s">
        <v>15</v>
      </c>
      <c r="D75" t="s">
        <v>24</v>
      </c>
      <c r="E75" t="s">
        <v>25</v>
      </c>
      <c r="F75" s="3">
        <v>-2000</v>
      </c>
      <c r="G75" t="s">
        <v>18</v>
      </c>
    </row>
    <row r="76" spans="1:7" x14ac:dyDescent="0.2">
      <c r="A76" t="s">
        <v>44</v>
      </c>
      <c r="B76">
        <v>2024</v>
      </c>
      <c r="C76" t="s">
        <v>15</v>
      </c>
      <c r="D76" t="s">
        <v>26</v>
      </c>
      <c r="E76" t="s">
        <v>27</v>
      </c>
      <c r="F76" s="3">
        <v>75000</v>
      </c>
      <c r="G76" t="s">
        <v>18</v>
      </c>
    </row>
    <row r="77" spans="1:7" x14ac:dyDescent="0.2">
      <c r="A77" t="s">
        <v>44</v>
      </c>
      <c r="B77">
        <v>2024</v>
      </c>
      <c r="C77" t="s">
        <v>15</v>
      </c>
      <c r="D77" t="s">
        <v>22</v>
      </c>
      <c r="E77" t="s">
        <v>23</v>
      </c>
      <c r="F77" s="3">
        <v>-1000</v>
      </c>
      <c r="G77" t="s">
        <v>21</v>
      </c>
    </row>
    <row r="78" spans="1:7" x14ac:dyDescent="0.2">
      <c r="A78" t="s">
        <v>44</v>
      </c>
      <c r="B78">
        <v>2024</v>
      </c>
      <c r="C78" t="s">
        <v>28</v>
      </c>
      <c r="D78" s="4" t="s">
        <v>13</v>
      </c>
      <c r="E78" s="4" t="s">
        <v>35</v>
      </c>
      <c r="F78" s="5">
        <v>1104000</v>
      </c>
      <c r="G78" t="s">
        <v>41</v>
      </c>
    </row>
    <row r="79" spans="1:7" x14ac:dyDescent="0.2">
      <c r="A79" t="s">
        <v>44</v>
      </c>
      <c r="B79">
        <v>2024</v>
      </c>
      <c r="C79" t="s">
        <v>28</v>
      </c>
      <c r="D79" s="4" t="s">
        <v>29</v>
      </c>
      <c r="E79" s="4" t="s">
        <v>30</v>
      </c>
      <c r="F79" s="5">
        <v>682000</v>
      </c>
      <c r="G79" t="s">
        <v>45</v>
      </c>
    </row>
    <row r="80" spans="1:7" x14ac:dyDescent="0.2">
      <c r="A80" t="s">
        <v>44</v>
      </c>
      <c r="B80">
        <v>2024</v>
      </c>
      <c r="C80" t="s">
        <v>28</v>
      </c>
      <c r="D80" s="4" t="s">
        <v>31</v>
      </c>
      <c r="E80" s="4" t="s">
        <v>32</v>
      </c>
      <c r="F80" s="5">
        <v>6000</v>
      </c>
      <c r="G80" t="s">
        <v>34</v>
      </c>
    </row>
    <row r="81" spans="1:7" x14ac:dyDescent="0.2">
      <c r="A81" t="s">
        <v>44</v>
      </c>
      <c r="B81">
        <v>2024</v>
      </c>
      <c r="C81" t="s">
        <v>28</v>
      </c>
      <c r="D81" s="4" t="s">
        <v>36</v>
      </c>
      <c r="E81" s="4" t="s">
        <v>37</v>
      </c>
      <c r="F81" s="5">
        <v>1002000</v>
      </c>
      <c r="G81" t="s">
        <v>42</v>
      </c>
    </row>
    <row r="82" spans="1:7" x14ac:dyDescent="0.2">
      <c r="A82" t="s">
        <v>44</v>
      </c>
      <c r="B82">
        <v>2024</v>
      </c>
      <c r="C82" t="s">
        <v>28</v>
      </c>
      <c r="D82" s="4" t="s">
        <v>38</v>
      </c>
      <c r="E82" s="4" t="s">
        <v>39</v>
      </c>
      <c r="F82" s="5">
        <v>92000</v>
      </c>
      <c r="G82" t="s">
        <v>43</v>
      </c>
    </row>
    <row r="83" spans="1:7" x14ac:dyDescent="0.2">
      <c r="A83" t="s">
        <v>44</v>
      </c>
      <c r="B83">
        <v>2023</v>
      </c>
      <c r="C83" t="s">
        <v>15</v>
      </c>
      <c r="D83" t="s">
        <v>16</v>
      </c>
      <c r="E83" t="s">
        <v>17</v>
      </c>
      <c r="F83" s="3">
        <v>63000</v>
      </c>
      <c r="G83" t="s">
        <v>40</v>
      </c>
    </row>
    <row r="84" spans="1:7" x14ac:dyDescent="0.2">
      <c r="A84" t="s">
        <v>44</v>
      </c>
      <c r="B84">
        <v>2023</v>
      </c>
      <c r="C84" t="s">
        <v>15</v>
      </c>
      <c r="D84" t="s">
        <v>19</v>
      </c>
      <c r="E84" t="s">
        <v>20</v>
      </c>
      <c r="F84" s="3">
        <v>154000</v>
      </c>
      <c r="G84" t="s">
        <v>21</v>
      </c>
    </row>
    <row r="85" spans="1:7" x14ac:dyDescent="0.2">
      <c r="A85" t="s">
        <v>44</v>
      </c>
      <c r="B85">
        <v>2023</v>
      </c>
      <c r="C85" t="s">
        <v>15</v>
      </c>
      <c r="D85" t="s">
        <v>24</v>
      </c>
      <c r="E85" t="s">
        <v>25</v>
      </c>
      <c r="F85" s="3">
        <v>-1000</v>
      </c>
      <c r="G85" t="s">
        <v>18</v>
      </c>
    </row>
    <row r="86" spans="1:7" x14ac:dyDescent="0.2">
      <c r="A86" t="s">
        <v>44</v>
      </c>
      <c r="B86">
        <v>2023</v>
      </c>
      <c r="C86" t="s">
        <v>15</v>
      </c>
      <c r="D86" t="s">
        <v>26</v>
      </c>
      <c r="E86" t="s">
        <v>27</v>
      </c>
      <c r="F86" s="3">
        <v>71000</v>
      </c>
      <c r="G86" t="s">
        <v>18</v>
      </c>
    </row>
    <row r="87" spans="1:7" x14ac:dyDescent="0.2">
      <c r="A87" t="s">
        <v>44</v>
      </c>
      <c r="B87">
        <v>2023</v>
      </c>
      <c r="C87" t="s">
        <v>15</v>
      </c>
      <c r="D87" t="s">
        <v>22</v>
      </c>
      <c r="E87" t="s">
        <v>23</v>
      </c>
      <c r="F87" s="3">
        <v>-2000</v>
      </c>
      <c r="G87" t="s">
        <v>21</v>
      </c>
    </row>
    <row r="88" spans="1:7" x14ac:dyDescent="0.2">
      <c r="A88" t="s">
        <v>44</v>
      </c>
      <c r="B88">
        <v>2023</v>
      </c>
      <c r="C88" t="s">
        <v>28</v>
      </c>
      <c r="D88" t="s">
        <v>13</v>
      </c>
      <c r="E88" t="s">
        <v>35</v>
      </c>
      <c r="F88" s="3">
        <v>1046000</v>
      </c>
      <c r="G88" t="s">
        <v>41</v>
      </c>
    </row>
    <row r="89" spans="1:7" x14ac:dyDescent="0.2">
      <c r="A89" t="s">
        <v>44</v>
      </c>
      <c r="B89">
        <v>2023</v>
      </c>
      <c r="C89" t="s">
        <v>28</v>
      </c>
      <c r="D89" t="s">
        <v>29</v>
      </c>
      <c r="E89" t="s">
        <v>30</v>
      </c>
      <c r="F89" s="3">
        <v>631000</v>
      </c>
      <c r="G89" t="s">
        <v>45</v>
      </c>
    </row>
    <row r="90" spans="1:7" x14ac:dyDescent="0.2">
      <c r="A90" t="s">
        <v>44</v>
      </c>
      <c r="B90">
        <v>2023</v>
      </c>
      <c r="C90" t="s">
        <v>28</v>
      </c>
      <c r="D90" t="s">
        <v>31</v>
      </c>
      <c r="E90" t="s">
        <v>32</v>
      </c>
      <c r="F90" s="3">
        <v>6000</v>
      </c>
      <c r="G90" t="s">
        <v>34</v>
      </c>
    </row>
    <row r="91" spans="1:7" x14ac:dyDescent="0.2">
      <c r="A91" t="s">
        <v>44</v>
      </c>
      <c r="B91">
        <v>2023</v>
      </c>
      <c r="C91" t="s">
        <v>28</v>
      </c>
      <c r="D91" t="s">
        <v>36</v>
      </c>
      <c r="E91" t="s">
        <v>37</v>
      </c>
      <c r="F91" s="3">
        <v>946000</v>
      </c>
      <c r="G91" t="s">
        <v>42</v>
      </c>
    </row>
    <row r="92" spans="1:7" x14ac:dyDescent="0.2">
      <c r="A92" t="s">
        <v>44</v>
      </c>
      <c r="B92">
        <v>2023</v>
      </c>
      <c r="C92" t="s">
        <v>28</v>
      </c>
      <c r="D92" t="s">
        <v>38</v>
      </c>
      <c r="E92" t="s">
        <v>39</v>
      </c>
      <c r="F92" s="3">
        <v>87000</v>
      </c>
      <c r="G92" t="s">
        <v>43</v>
      </c>
    </row>
    <row r="93" spans="1:7" x14ac:dyDescent="0.2">
      <c r="A93" t="s">
        <v>44</v>
      </c>
      <c r="B93">
        <v>2022</v>
      </c>
      <c r="C93" t="s">
        <v>15</v>
      </c>
      <c r="D93" t="s">
        <v>16</v>
      </c>
      <c r="E93" t="s">
        <v>17</v>
      </c>
      <c r="F93" s="3">
        <v>55000</v>
      </c>
      <c r="G93" t="s">
        <v>40</v>
      </c>
    </row>
    <row r="94" spans="1:7" x14ac:dyDescent="0.2">
      <c r="A94" t="s">
        <v>44</v>
      </c>
      <c r="B94">
        <v>2022</v>
      </c>
      <c r="C94" t="s">
        <v>15</v>
      </c>
      <c r="D94" t="s">
        <v>19</v>
      </c>
      <c r="E94" t="s">
        <v>20</v>
      </c>
      <c r="F94" s="3">
        <v>140000</v>
      </c>
      <c r="G94" t="s">
        <v>21</v>
      </c>
    </row>
    <row r="95" spans="1:7" x14ac:dyDescent="0.2">
      <c r="A95" t="s">
        <v>44</v>
      </c>
      <c r="B95">
        <v>2022</v>
      </c>
      <c r="C95" t="s">
        <v>15</v>
      </c>
      <c r="D95" t="s">
        <v>24</v>
      </c>
      <c r="E95" t="s">
        <v>25</v>
      </c>
      <c r="F95" s="3">
        <v>-3000</v>
      </c>
      <c r="G95" t="s">
        <v>18</v>
      </c>
    </row>
    <row r="96" spans="1:7" x14ac:dyDescent="0.2">
      <c r="A96" t="s">
        <v>44</v>
      </c>
      <c r="B96">
        <v>2022</v>
      </c>
      <c r="C96" t="s">
        <v>15</v>
      </c>
      <c r="D96" t="s">
        <v>26</v>
      </c>
      <c r="E96" t="s">
        <v>27</v>
      </c>
      <c r="F96" s="3">
        <v>68000</v>
      </c>
      <c r="G96" t="s">
        <v>18</v>
      </c>
    </row>
    <row r="97" spans="1:7" x14ac:dyDescent="0.2">
      <c r="A97" t="s">
        <v>44</v>
      </c>
      <c r="B97">
        <v>2022</v>
      </c>
      <c r="C97" t="s">
        <v>15</v>
      </c>
      <c r="D97" t="s">
        <v>22</v>
      </c>
      <c r="E97" t="s">
        <v>23</v>
      </c>
      <c r="F97" s="3">
        <v>1000</v>
      </c>
      <c r="G97" t="s">
        <v>21</v>
      </c>
    </row>
    <row r="98" spans="1:7" x14ac:dyDescent="0.2">
      <c r="A98" t="s">
        <v>44</v>
      </c>
      <c r="B98">
        <v>2022</v>
      </c>
      <c r="C98" t="s">
        <v>28</v>
      </c>
      <c r="D98" t="s">
        <v>13</v>
      </c>
      <c r="E98" t="s">
        <v>35</v>
      </c>
      <c r="F98" s="3">
        <v>1012000</v>
      </c>
      <c r="G98" t="s">
        <v>41</v>
      </c>
    </row>
    <row r="99" spans="1:7" x14ac:dyDescent="0.2">
      <c r="A99" t="s">
        <v>44</v>
      </c>
      <c r="B99">
        <v>2022</v>
      </c>
      <c r="C99" t="s">
        <v>28</v>
      </c>
      <c r="D99" t="s">
        <v>29</v>
      </c>
      <c r="E99" t="s">
        <v>30</v>
      </c>
      <c r="F99" s="3">
        <v>604000</v>
      </c>
      <c r="G99" t="s">
        <v>45</v>
      </c>
    </row>
    <row r="100" spans="1:7" x14ac:dyDescent="0.2">
      <c r="A100" t="s">
        <v>44</v>
      </c>
      <c r="B100">
        <v>2022</v>
      </c>
      <c r="C100" t="s">
        <v>28</v>
      </c>
      <c r="D100" t="s">
        <v>31</v>
      </c>
      <c r="E100" t="s">
        <v>32</v>
      </c>
      <c r="F100" s="3">
        <v>6000</v>
      </c>
      <c r="G100" t="s">
        <v>34</v>
      </c>
    </row>
    <row r="101" spans="1:7" x14ac:dyDescent="0.2">
      <c r="A101" t="s">
        <v>44</v>
      </c>
      <c r="B101">
        <v>2022</v>
      </c>
      <c r="C101" t="s">
        <v>28</v>
      </c>
      <c r="D101" t="s">
        <v>36</v>
      </c>
      <c r="E101" t="s">
        <v>37</v>
      </c>
      <c r="F101" s="3">
        <v>923000</v>
      </c>
      <c r="G101" t="s">
        <v>42</v>
      </c>
    </row>
    <row r="102" spans="1:7" x14ac:dyDescent="0.2">
      <c r="A102" t="s">
        <v>44</v>
      </c>
      <c r="B102">
        <v>2022</v>
      </c>
      <c r="C102" t="s">
        <v>28</v>
      </c>
      <c r="D102" t="s">
        <v>38</v>
      </c>
      <c r="E102" t="s">
        <v>39</v>
      </c>
      <c r="F102" s="3">
        <v>84000</v>
      </c>
      <c r="G102" t="s">
        <v>43</v>
      </c>
    </row>
    <row r="103" spans="1:7" x14ac:dyDescent="0.2">
      <c r="A103" t="s">
        <v>44</v>
      </c>
      <c r="B103">
        <v>2021</v>
      </c>
      <c r="C103" t="s">
        <v>15</v>
      </c>
      <c r="D103" t="s">
        <v>16</v>
      </c>
      <c r="E103" t="s">
        <v>17</v>
      </c>
      <c r="F103" s="3">
        <v>47000</v>
      </c>
      <c r="G103" t="s">
        <v>40</v>
      </c>
    </row>
    <row r="104" spans="1:7" x14ac:dyDescent="0.2">
      <c r="A104" t="s">
        <v>44</v>
      </c>
      <c r="B104">
        <v>2021</v>
      </c>
      <c r="C104" t="s">
        <v>15</v>
      </c>
      <c r="D104" t="s">
        <v>19</v>
      </c>
      <c r="E104" t="s">
        <v>20</v>
      </c>
      <c r="F104" s="3">
        <v>130000</v>
      </c>
      <c r="G104" t="s">
        <v>21</v>
      </c>
    </row>
    <row r="105" spans="1:7" x14ac:dyDescent="0.2">
      <c r="A105" t="s">
        <v>44</v>
      </c>
      <c r="B105">
        <v>2021</v>
      </c>
      <c r="C105" t="s">
        <v>15</v>
      </c>
      <c r="D105" t="s">
        <v>24</v>
      </c>
      <c r="E105" t="s">
        <v>25</v>
      </c>
      <c r="F105" s="3">
        <v>-4000</v>
      </c>
      <c r="G105" t="s">
        <v>18</v>
      </c>
    </row>
    <row r="106" spans="1:7" x14ac:dyDescent="0.2">
      <c r="A106" t="s">
        <v>44</v>
      </c>
      <c r="B106">
        <v>2021</v>
      </c>
      <c r="C106" t="s">
        <v>15</v>
      </c>
      <c r="D106" t="s">
        <v>26</v>
      </c>
      <c r="E106" t="s">
        <v>27</v>
      </c>
      <c r="F106" s="3">
        <v>65000</v>
      </c>
      <c r="G106" t="s">
        <v>18</v>
      </c>
    </row>
    <row r="107" spans="1:7" x14ac:dyDescent="0.2">
      <c r="A107" t="s">
        <v>44</v>
      </c>
      <c r="B107">
        <v>2021</v>
      </c>
      <c r="C107" t="s">
        <v>15</v>
      </c>
      <c r="D107" t="s">
        <v>22</v>
      </c>
      <c r="E107" t="s">
        <v>23</v>
      </c>
      <c r="F107" s="3">
        <v>-3000</v>
      </c>
      <c r="G107" t="s">
        <v>21</v>
      </c>
    </row>
    <row r="108" spans="1:7" x14ac:dyDescent="0.2">
      <c r="A108" t="s">
        <v>44</v>
      </c>
      <c r="B108">
        <v>2021</v>
      </c>
      <c r="C108" t="s">
        <v>28</v>
      </c>
      <c r="D108" t="s">
        <v>13</v>
      </c>
      <c r="E108" t="s">
        <v>35</v>
      </c>
      <c r="F108" s="3">
        <v>978000</v>
      </c>
      <c r="G108" t="s">
        <v>41</v>
      </c>
    </row>
    <row r="109" spans="1:7" x14ac:dyDescent="0.2">
      <c r="A109" t="s">
        <v>44</v>
      </c>
      <c r="B109">
        <v>2021</v>
      </c>
      <c r="C109" t="s">
        <v>28</v>
      </c>
      <c r="D109" t="s">
        <v>29</v>
      </c>
      <c r="E109" t="s">
        <v>30</v>
      </c>
      <c r="F109" s="3">
        <v>589000</v>
      </c>
      <c r="G109" t="s">
        <v>45</v>
      </c>
    </row>
    <row r="110" spans="1:7" x14ac:dyDescent="0.2">
      <c r="A110" t="s">
        <v>44</v>
      </c>
      <c r="B110">
        <v>2021</v>
      </c>
      <c r="C110" t="s">
        <v>28</v>
      </c>
      <c r="D110" t="s">
        <v>31</v>
      </c>
      <c r="E110" t="s">
        <v>32</v>
      </c>
      <c r="F110" s="3">
        <v>5000</v>
      </c>
      <c r="G110" t="s">
        <v>34</v>
      </c>
    </row>
    <row r="111" spans="1:7" x14ac:dyDescent="0.2">
      <c r="A111" t="s">
        <v>44</v>
      </c>
      <c r="B111">
        <v>2021</v>
      </c>
      <c r="C111" t="s">
        <v>28</v>
      </c>
      <c r="D111" t="s">
        <v>36</v>
      </c>
      <c r="E111" t="s">
        <v>37</v>
      </c>
      <c r="F111" s="3">
        <v>905000</v>
      </c>
      <c r="G111" t="s">
        <v>42</v>
      </c>
    </row>
    <row r="112" spans="1:7" x14ac:dyDescent="0.2">
      <c r="A112" t="s">
        <v>44</v>
      </c>
      <c r="B112">
        <v>2021</v>
      </c>
      <c r="C112" t="s">
        <v>28</v>
      </c>
      <c r="D112" t="s">
        <v>38</v>
      </c>
      <c r="E112" t="s">
        <v>39</v>
      </c>
      <c r="F112" s="3">
        <v>81000</v>
      </c>
      <c r="G112" t="s">
        <v>43</v>
      </c>
    </row>
    <row r="113" spans="1:7" x14ac:dyDescent="0.2">
      <c r="A113" t="s">
        <v>44</v>
      </c>
      <c r="B113">
        <v>2020</v>
      </c>
      <c r="C113" t="s">
        <v>15</v>
      </c>
      <c r="D113" t="s">
        <v>16</v>
      </c>
      <c r="E113" t="s">
        <v>17</v>
      </c>
      <c r="F113" s="3">
        <v>39000</v>
      </c>
      <c r="G113" t="s">
        <v>40</v>
      </c>
    </row>
    <row r="114" spans="1:7" x14ac:dyDescent="0.2">
      <c r="A114" t="s">
        <v>44</v>
      </c>
      <c r="B114">
        <v>2020</v>
      </c>
      <c r="C114" t="s">
        <v>15</v>
      </c>
      <c r="D114" t="s">
        <v>19</v>
      </c>
      <c r="E114" t="s">
        <v>20</v>
      </c>
      <c r="F114" s="3">
        <v>122000</v>
      </c>
      <c r="G114" t="s">
        <v>21</v>
      </c>
    </row>
    <row r="115" spans="1:7" x14ac:dyDescent="0.2">
      <c r="A115" t="s">
        <v>44</v>
      </c>
      <c r="B115">
        <v>2020</v>
      </c>
      <c r="C115" t="s">
        <v>15</v>
      </c>
      <c r="D115" t="s">
        <v>24</v>
      </c>
      <c r="E115" t="s">
        <v>25</v>
      </c>
      <c r="F115" s="3">
        <v>-6000</v>
      </c>
      <c r="G115" t="s">
        <v>18</v>
      </c>
    </row>
    <row r="116" spans="1:7" x14ac:dyDescent="0.2">
      <c r="A116" t="s">
        <v>44</v>
      </c>
      <c r="B116">
        <v>2020</v>
      </c>
      <c r="C116" t="s">
        <v>15</v>
      </c>
      <c r="D116" t="s">
        <v>26</v>
      </c>
      <c r="E116" t="s">
        <v>27</v>
      </c>
      <c r="F116" s="3">
        <v>63000</v>
      </c>
      <c r="G116" t="s">
        <v>18</v>
      </c>
    </row>
    <row r="117" spans="1:7" x14ac:dyDescent="0.2">
      <c r="A117" t="s">
        <v>44</v>
      </c>
      <c r="B117">
        <v>2020</v>
      </c>
      <c r="C117" t="s">
        <v>15</v>
      </c>
      <c r="D117" t="s">
        <v>22</v>
      </c>
      <c r="E117" t="s">
        <v>23</v>
      </c>
      <c r="F117" s="3">
        <v>2000</v>
      </c>
      <c r="G117" t="s">
        <v>21</v>
      </c>
    </row>
    <row r="118" spans="1:7" x14ac:dyDescent="0.2">
      <c r="A118" t="s">
        <v>44</v>
      </c>
      <c r="B118">
        <v>2020</v>
      </c>
      <c r="C118" t="s">
        <v>28</v>
      </c>
      <c r="D118" t="s">
        <v>13</v>
      </c>
      <c r="E118" t="s">
        <v>35</v>
      </c>
      <c r="F118" s="3">
        <v>954000</v>
      </c>
      <c r="G118" t="s">
        <v>41</v>
      </c>
    </row>
    <row r="119" spans="1:7" x14ac:dyDescent="0.2">
      <c r="A119" t="s">
        <v>44</v>
      </c>
      <c r="B119">
        <v>2020</v>
      </c>
      <c r="C119" t="s">
        <v>28</v>
      </c>
      <c r="D119" t="s">
        <v>29</v>
      </c>
      <c r="E119" t="s">
        <v>30</v>
      </c>
      <c r="F119" s="3">
        <v>575000</v>
      </c>
      <c r="G119" t="s">
        <v>45</v>
      </c>
    </row>
    <row r="120" spans="1:7" x14ac:dyDescent="0.2">
      <c r="A120" t="s">
        <v>44</v>
      </c>
      <c r="B120">
        <v>2020</v>
      </c>
      <c r="C120" t="s">
        <v>28</v>
      </c>
      <c r="D120" t="s">
        <v>31</v>
      </c>
      <c r="E120" t="s">
        <v>32</v>
      </c>
      <c r="F120" s="3">
        <v>5000</v>
      </c>
      <c r="G120" t="s">
        <v>34</v>
      </c>
    </row>
    <row r="121" spans="1:7" x14ac:dyDescent="0.2">
      <c r="A121" t="s">
        <v>44</v>
      </c>
      <c r="B121">
        <v>2020</v>
      </c>
      <c r="C121" t="s">
        <v>28</v>
      </c>
      <c r="D121" t="s">
        <v>36</v>
      </c>
      <c r="E121" t="s">
        <v>37</v>
      </c>
      <c r="F121" s="3">
        <v>889000</v>
      </c>
      <c r="G121" t="s">
        <v>42</v>
      </c>
    </row>
    <row r="122" spans="1:7" x14ac:dyDescent="0.2">
      <c r="A122" t="s">
        <v>44</v>
      </c>
      <c r="B122">
        <v>2020</v>
      </c>
      <c r="C122" t="s">
        <v>28</v>
      </c>
      <c r="D122" t="s">
        <v>38</v>
      </c>
      <c r="E122" t="s">
        <v>39</v>
      </c>
      <c r="F122" s="3">
        <v>78000</v>
      </c>
      <c r="G122" t="s">
        <v>43</v>
      </c>
    </row>
    <row r="123" spans="1:7" x14ac:dyDescent="0.2">
      <c r="A123" t="s">
        <v>95</v>
      </c>
      <c r="B123">
        <v>2025</v>
      </c>
      <c r="C123" t="s">
        <v>15</v>
      </c>
      <c r="D123" t="s">
        <v>16</v>
      </c>
      <c r="E123" t="s">
        <v>17</v>
      </c>
      <c r="F123" s="3">
        <v>7234397</v>
      </c>
      <c r="G123" t="s">
        <v>21</v>
      </c>
    </row>
    <row r="124" spans="1:7" x14ac:dyDescent="0.2">
      <c r="A124" t="s">
        <v>95</v>
      </c>
      <c r="B124">
        <v>2025</v>
      </c>
      <c r="C124" t="s">
        <v>15</v>
      </c>
      <c r="D124" t="s">
        <v>19</v>
      </c>
      <c r="E124" t="s">
        <v>20</v>
      </c>
      <c r="F124" s="3">
        <v>15135750</v>
      </c>
      <c r="G124" t="s">
        <v>96</v>
      </c>
    </row>
    <row r="125" spans="1:7" x14ac:dyDescent="0.2">
      <c r="A125" t="s">
        <v>95</v>
      </c>
      <c r="B125">
        <v>2025</v>
      </c>
      <c r="C125" t="s">
        <v>15</v>
      </c>
      <c r="D125" t="s">
        <v>24</v>
      </c>
      <c r="E125" t="s">
        <v>25</v>
      </c>
      <c r="F125" s="3">
        <v>7780792</v>
      </c>
      <c r="G125" t="s">
        <v>21</v>
      </c>
    </row>
    <row r="126" spans="1:7" x14ac:dyDescent="0.2">
      <c r="A126" t="s">
        <v>95</v>
      </c>
      <c r="B126">
        <v>2025</v>
      </c>
      <c r="C126" t="s">
        <v>15</v>
      </c>
      <c r="D126" t="s">
        <v>26</v>
      </c>
      <c r="E126" t="s">
        <v>27</v>
      </c>
      <c r="F126" s="3">
        <v>13249878</v>
      </c>
      <c r="G126" t="s">
        <v>21</v>
      </c>
    </row>
    <row r="127" spans="1:7" x14ac:dyDescent="0.2">
      <c r="A127" t="s">
        <v>95</v>
      </c>
      <c r="B127">
        <v>2025</v>
      </c>
      <c r="C127" t="s">
        <v>15</v>
      </c>
      <c r="D127" t="s">
        <v>22</v>
      </c>
      <c r="E127" t="s">
        <v>23</v>
      </c>
      <c r="F127" s="3">
        <v>777911</v>
      </c>
      <c r="G127" t="s">
        <v>96</v>
      </c>
    </row>
    <row r="128" spans="1:7" x14ac:dyDescent="0.2">
      <c r="A128" t="s">
        <v>95</v>
      </c>
      <c r="B128">
        <v>2025</v>
      </c>
      <c r="C128" t="s">
        <v>28</v>
      </c>
      <c r="D128" t="s">
        <v>13</v>
      </c>
      <c r="E128" t="s">
        <v>35</v>
      </c>
      <c r="F128" s="3">
        <v>562109930</v>
      </c>
      <c r="G128" t="s">
        <v>41</v>
      </c>
    </row>
    <row r="129" spans="1:7" x14ac:dyDescent="0.2">
      <c r="A129" t="s">
        <v>95</v>
      </c>
      <c r="B129">
        <v>2025</v>
      </c>
      <c r="C129" t="s">
        <v>28</v>
      </c>
      <c r="D129" t="s">
        <v>29</v>
      </c>
      <c r="E129" t="s">
        <v>30</v>
      </c>
      <c r="F129" s="3">
        <v>325102041</v>
      </c>
      <c r="G129" t="s">
        <v>33</v>
      </c>
    </row>
    <row r="130" spans="1:7" x14ac:dyDescent="0.2">
      <c r="A130" t="s">
        <v>95</v>
      </c>
      <c r="B130">
        <v>2025</v>
      </c>
      <c r="C130" t="s">
        <v>28</v>
      </c>
      <c r="D130" t="s">
        <v>31</v>
      </c>
      <c r="E130" t="s">
        <v>32</v>
      </c>
      <c r="F130" s="3">
        <v>5431785</v>
      </c>
      <c r="G130" t="s">
        <v>34</v>
      </c>
    </row>
    <row r="131" spans="1:7" x14ac:dyDescent="0.2">
      <c r="A131" t="s">
        <v>95</v>
      </c>
      <c r="B131">
        <v>2025</v>
      </c>
      <c r="C131" t="s">
        <v>28</v>
      </c>
      <c r="D131" t="s">
        <v>36</v>
      </c>
      <c r="E131" t="s">
        <v>37</v>
      </c>
      <c r="F131" s="3">
        <v>441153496</v>
      </c>
      <c r="G131" t="s">
        <v>42</v>
      </c>
    </row>
    <row r="132" spans="1:7" x14ac:dyDescent="0.2">
      <c r="A132" t="s">
        <v>95</v>
      </c>
      <c r="B132">
        <v>2025</v>
      </c>
      <c r="C132" t="s">
        <v>28</v>
      </c>
      <c r="D132" t="s">
        <v>38</v>
      </c>
      <c r="E132" t="s">
        <v>39</v>
      </c>
      <c r="F132" s="3">
        <v>57348704</v>
      </c>
      <c r="G132" t="s">
        <v>43</v>
      </c>
    </row>
    <row r="133" spans="1:7" x14ac:dyDescent="0.2">
      <c r="A133" t="s">
        <v>95</v>
      </c>
      <c r="B133">
        <v>2024</v>
      </c>
      <c r="C133" t="s">
        <v>15</v>
      </c>
      <c r="D133" t="s">
        <v>16</v>
      </c>
      <c r="E133" t="s">
        <v>17</v>
      </c>
      <c r="F133" s="3">
        <v>6200272</v>
      </c>
      <c r="G133" t="s">
        <v>21</v>
      </c>
    </row>
    <row r="134" spans="1:7" x14ac:dyDescent="0.2">
      <c r="A134" t="s">
        <v>95</v>
      </c>
      <c r="B134">
        <v>2024</v>
      </c>
      <c r="C134" t="s">
        <v>15</v>
      </c>
      <c r="D134" t="s">
        <v>19</v>
      </c>
      <c r="E134" t="s">
        <v>20</v>
      </c>
      <c r="F134" s="3">
        <v>14226471</v>
      </c>
      <c r="G134" t="s">
        <v>96</v>
      </c>
    </row>
    <row r="135" spans="1:7" x14ac:dyDescent="0.2">
      <c r="A135" t="s">
        <v>95</v>
      </c>
      <c r="B135">
        <v>2024</v>
      </c>
      <c r="C135" t="s">
        <v>15</v>
      </c>
      <c r="D135" t="s">
        <v>24</v>
      </c>
      <c r="E135" t="s">
        <v>25</v>
      </c>
      <c r="F135" s="3">
        <v>7778298</v>
      </c>
      <c r="G135" t="s">
        <v>21</v>
      </c>
    </row>
    <row r="136" spans="1:7" x14ac:dyDescent="0.2">
      <c r="A136" t="s">
        <v>95</v>
      </c>
      <c r="B136">
        <v>2024</v>
      </c>
      <c r="C136" t="s">
        <v>15</v>
      </c>
      <c r="D136" t="s">
        <v>26</v>
      </c>
      <c r="E136" t="s">
        <v>27</v>
      </c>
      <c r="F136" s="3">
        <v>13043794</v>
      </c>
      <c r="G136" t="s">
        <v>21</v>
      </c>
    </row>
    <row r="137" spans="1:7" x14ac:dyDescent="0.2">
      <c r="A137" t="s">
        <v>95</v>
      </c>
      <c r="B137">
        <v>2024</v>
      </c>
      <c r="C137" t="s">
        <v>15</v>
      </c>
      <c r="D137" t="s">
        <v>22</v>
      </c>
      <c r="E137" t="s">
        <v>23</v>
      </c>
      <c r="F137" s="3">
        <v>787339</v>
      </c>
      <c r="G137" t="s">
        <v>96</v>
      </c>
    </row>
    <row r="138" spans="1:7" x14ac:dyDescent="0.2">
      <c r="A138" t="s">
        <v>95</v>
      </c>
      <c r="B138">
        <v>2024</v>
      </c>
      <c r="C138" t="s">
        <v>28</v>
      </c>
      <c r="D138" t="s">
        <v>13</v>
      </c>
      <c r="E138" t="s">
        <v>35</v>
      </c>
      <c r="F138" s="3">
        <v>561989000</v>
      </c>
      <c r="G138" t="s">
        <v>41</v>
      </c>
    </row>
    <row r="139" spans="1:7" x14ac:dyDescent="0.2">
      <c r="A139" t="s">
        <v>95</v>
      </c>
      <c r="B139">
        <v>2024</v>
      </c>
      <c r="C139" t="s">
        <v>28</v>
      </c>
      <c r="D139" t="s">
        <v>29</v>
      </c>
      <c r="E139" t="s">
        <v>30</v>
      </c>
      <c r="F139" s="3">
        <v>322241000</v>
      </c>
      <c r="G139" t="s">
        <v>33</v>
      </c>
    </row>
    <row r="140" spans="1:7" x14ac:dyDescent="0.2">
      <c r="A140" t="s">
        <v>95</v>
      </c>
      <c r="B140">
        <v>2024</v>
      </c>
      <c r="C140" t="s">
        <v>28</v>
      </c>
      <c r="D140" t="s">
        <v>31</v>
      </c>
      <c r="E140" t="s">
        <v>32</v>
      </c>
      <c r="F140" s="3">
        <v>5354000</v>
      </c>
      <c r="G140" t="s">
        <v>34</v>
      </c>
    </row>
    <row r="141" spans="1:7" x14ac:dyDescent="0.2">
      <c r="A141" t="s">
        <v>95</v>
      </c>
      <c r="B141">
        <v>2024</v>
      </c>
      <c r="C141" t="s">
        <v>28</v>
      </c>
      <c r="D141" t="s">
        <v>36</v>
      </c>
      <c r="E141" t="s">
        <v>37</v>
      </c>
      <c r="F141" s="3">
        <v>440970000</v>
      </c>
      <c r="G141" t="s">
        <v>42</v>
      </c>
    </row>
    <row r="142" spans="1:7" x14ac:dyDescent="0.2">
      <c r="A142" t="s">
        <v>95</v>
      </c>
      <c r="B142">
        <v>2024</v>
      </c>
      <c r="C142" t="s">
        <v>28</v>
      </c>
      <c r="D142" t="s">
        <v>38</v>
      </c>
      <c r="E142" t="s">
        <v>39</v>
      </c>
      <c r="F142" s="3">
        <v>55934000</v>
      </c>
      <c r="G142" t="s">
        <v>43</v>
      </c>
    </row>
    <row r="143" spans="1:7" x14ac:dyDescent="0.2">
      <c r="A143" t="s">
        <v>95</v>
      </c>
      <c r="B143">
        <v>2023</v>
      </c>
      <c r="C143" t="s">
        <v>15</v>
      </c>
      <c r="D143" t="s">
        <v>16</v>
      </c>
      <c r="E143" t="s">
        <v>17</v>
      </c>
      <c r="F143" s="3">
        <v>5739000</v>
      </c>
      <c r="G143" t="s">
        <v>21</v>
      </c>
    </row>
    <row r="144" spans="1:7" x14ac:dyDescent="0.2">
      <c r="A144" t="s">
        <v>95</v>
      </c>
      <c r="B144">
        <v>2023</v>
      </c>
      <c r="C144" t="s">
        <v>15</v>
      </c>
      <c r="D144" t="s">
        <v>19</v>
      </c>
      <c r="E144" t="s">
        <v>20</v>
      </c>
      <c r="F144" s="3">
        <v>13259000</v>
      </c>
      <c r="G144" t="s">
        <v>96</v>
      </c>
    </row>
    <row r="145" spans="1:7" x14ac:dyDescent="0.2">
      <c r="A145" t="s">
        <v>95</v>
      </c>
      <c r="B145">
        <v>2023</v>
      </c>
      <c r="C145" t="s">
        <v>15</v>
      </c>
      <c r="D145" t="s">
        <v>24</v>
      </c>
      <c r="E145" t="s">
        <v>25</v>
      </c>
      <c r="F145" s="3">
        <v>7184000</v>
      </c>
      <c r="G145" t="s">
        <v>21</v>
      </c>
    </row>
    <row r="146" spans="1:7" x14ac:dyDescent="0.2">
      <c r="A146" t="s">
        <v>95</v>
      </c>
      <c r="B146">
        <v>2023</v>
      </c>
      <c r="C146" t="s">
        <v>15</v>
      </c>
      <c r="D146" t="s">
        <v>26</v>
      </c>
      <c r="E146" t="s">
        <v>27</v>
      </c>
      <c r="F146" s="3">
        <v>12745000</v>
      </c>
      <c r="G146" t="s">
        <v>21</v>
      </c>
    </row>
    <row r="147" spans="1:7" x14ac:dyDescent="0.2">
      <c r="A147" t="s">
        <v>95</v>
      </c>
      <c r="B147">
        <v>2023</v>
      </c>
      <c r="C147" t="s">
        <v>15</v>
      </c>
      <c r="D147" t="s">
        <v>22</v>
      </c>
      <c r="E147" t="s">
        <v>23</v>
      </c>
      <c r="F147" s="3">
        <v>1587000</v>
      </c>
      <c r="G147" t="s">
        <v>96</v>
      </c>
    </row>
    <row r="148" spans="1:7" x14ac:dyDescent="0.2">
      <c r="A148" t="s">
        <v>95</v>
      </c>
      <c r="B148">
        <v>2023</v>
      </c>
      <c r="C148" t="s">
        <v>28</v>
      </c>
      <c r="D148" t="s">
        <v>13</v>
      </c>
      <c r="E148" t="s">
        <v>35</v>
      </c>
      <c r="F148" s="3">
        <v>559344000</v>
      </c>
      <c r="G148" t="s">
        <v>41</v>
      </c>
    </row>
    <row r="149" spans="1:7" x14ac:dyDescent="0.2">
      <c r="A149" t="s">
        <v>95</v>
      </c>
      <c r="B149">
        <v>2023</v>
      </c>
      <c r="C149" t="s">
        <v>28</v>
      </c>
      <c r="D149" t="s">
        <v>29</v>
      </c>
      <c r="E149" t="s">
        <v>30</v>
      </c>
      <c r="F149" s="3">
        <v>320236000</v>
      </c>
      <c r="G149" t="s">
        <v>33</v>
      </c>
    </row>
    <row r="150" spans="1:7" x14ac:dyDescent="0.2">
      <c r="A150" t="s">
        <v>95</v>
      </c>
      <c r="B150">
        <v>2023</v>
      </c>
      <c r="C150" t="s">
        <v>28</v>
      </c>
      <c r="D150" t="s">
        <v>31</v>
      </c>
      <c r="E150" t="s">
        <v>32</v>
      </c>
      <c r="F150" s="3">
        <v>5206000</v>
      </c>
      <c r="G150" t="s">
        <v>34</v>
      </c>
    </row>
    <row r="151" spans="1:7" x14ac:dyDescent="0.2">
      <c r="A151" t="s">
        <v>95</v>
      </c>
      <c r="B151">
        <v>2023</v>
      </c>
      <c r="C151" t="s">
        <v>28</v>
      </c>
      <c r="D151" t="s">
        <v>36</v>
      </c>
      <c r="E151" t="s">
        <v>37</v>
      </c>
      <c r="F151" s="3">
        <v>438321000</v>
      </c>
      <c r="G151" t="s">
        <v>42</v>
      </c>
    </row>
    <row r="152" spans="1:7" x14ac:dyDescent="0.2">
      <c r="A152" t="s">
        <v>95</v>
      </c>
      <c r="B152">
        <v>2023</v>
      </c>
      <c r="C152" t="s">
        <v>28</v>
      </c>
      <c r="D152" t="s">
        <v>38</v>
      </c>
      <c r="E152" t="s">
        <v>39</v>
      </c>
      <c r="F152" s="3">
        <v>54733000</v>
      </c>
      <c r="G152" t="s">
        <v>43</v>
      </c>
    </row>
    <row r="153" spans="1:7" x14ac:dyDescent="0.2">
      <c r="A153" t="s">
        <v>95</v>
      </c>
      <c r="B153">
        <v>2022</v>
      </c>
      <c r="C153" t="s">
        <v>15</v>
      </c>
      <c r="D153" t="s">
        <v>16</v>
      </c>
      <c r="E153" t="s">
        <v>17</v>
      </c>
      <c r="F153" s="3">
        <v>6476000</v>
      </c>
      <c r="G153" t="s">
        <v>21</v>
      </c>
    </row>
    <row r="154" spans="1:7" x14ac:dyDescent="0.2">
      <c r="A154" t="s">
        <v>95</v>
      </c>
      <c r="B154">
        <v>2022</v>
      </c>
      <c r="C154" t="s">
        <v>15</v>
      </c>
      <c r="D154" t="s">
        <v>19</v>
      </c>
      <c r="E154" t="s">
        <v>20</v>
      </c>
      <c r="F154" s="3">
        <v>11640000</v>
      </c>
      <c r="G154" t="s">
        <v>96</v>
      </c>
    </row>
    <row r="155" spans="1:7" x14ac:dyDescent="0.2">
      <c r="A155" t="s">
        <v>95</v>
      </c>
      <c r="B155">
        <v>2022</v>
      </c>
      <c r="C155" t="s">
        <v>15</v>
      </c>
      <c r="D155" t="s">
        <v>24</v>
      </c>
      <c r="E155" t="s">
        <v>25</v>
      </c>
      <c r="F155" s="3">
        <v>8060000</v>
      </c>
      <c r="G155" t="s">
        <v>21</v>
      </c>
    </row>
    <row r="156" spans="1:7" x14ac:dyDescent="0.2">
      <c r="A156" t="s">
        <v>95</v>
      </c>
      <c r="B156">
        <v>2022</v>
      </c>
      <c r="C156" t="s">
        <v>15</v>
      </c>
      <c r="D156" t="s">
        <v>26</v>
      </c>
      <c r="E156" t="s">
        <v>27</v>
      </c>
      <c r="F156" s="3">
        <v>12933000</v>
      </c>
      <c r="G156" t="s">
        <v>21</v>
      </c>
    </row>
    <row r="157" spans="1:7" x14ac:dyDescent="0.2">
      <c r="A157" t="s">
        <v>95</v>
      </c>
      <c r="B157">
        <v>2022</v>
      </c>
      <c r="C157" t="s">
        <v>15</v>
      </c>
      <c r="D157" t="s">
        <v>22</v>
      </c>
      <c r="E157" t="s">
        <v>23</v>
      </c>
      <c r="F157" s="3">
        <v>1260000</v>
      </c>
      <c r="G157" t="s">
        <v>96</v>
      </c>
    </row>
    <row r="158" spans="1:7" x14ac:dyDescent="0.2">
      <c r="A158" t="s">
        <v>95</v>
      </c>
      <c r="B158">
        <v>2022</v>
      </c>
      <c r="C158" t="s">
        <v>28</v>
      </c>
      <c r="D158" t="s">
        <v>13</v>
      </c>
      <c r="E158" t="s">
        <v>35</v>
      </c>
      <c r="F158" s="3">
        <v>554206000</v>
      </c>
      <c r="G158" t="s">
        <v>41</v>
      </c>
    </row>
    <row r="159" spans="1:7" x14ac:dyDescent="0.2">
      <c r="A159" t="s">
        <v>95</v>
      </c>
      <c r="B159">
        <v>2022</v>
      </c>
      <c r="C159" t="s">
        <v>28</v>
      </c>
      <c r="D159" t="s">
        <v>29</v>
      </c>
      <c r="E159" t="s">
        <v>30</v>
      </c>
      <c r="F159" s="3">
        <v>315070000</v>
      </c>
      <c r="G159" t="s">
        <v>33</v>
      </c>
    </row>
    <row r="160" spans="1:7" x14ac:dyDescent="0.2">
      <c r="A160" t="s">
        <v>95</v>
      </c>
      <c r="B160">
        <v>2022</v>
      </c>
      <c r="C160" t="s">
        <v>28</v>
      </c>
      <c r="D160" t="s">
        <v>31</v>
      </c>
      <c r="E160" t="s">
        <v>32</v>
      </c>
      <c r="F160" s="3">
        <v>5110000</v>
      </c>
      <c r="G160" t="s">
        <v>34</v>
      </c>
    </row>
    <row r="161" spans="1:7" x14ac:dyDescent="0.2">
      <c r="A161" t="s">
        <v>95</v>
      </c>
      <c r="B161">
        <v>2022</v>
      </c>
      <c r="C161" t="s">
        <v>28</v>
      </c>
      <c r="D161" t="s">
        <v>36</v>
      </c>
      <c r="E161" t="s">
        <v>37</v>
      </c>
      <c r="F161" s="3">
        <v>436004000</v>
      </c>
      <c r="G161" t="s">
        <v>42</v>
      </c>
    </row>
    <row r="162" spans="1:7" x14ac:dyDescent="0.2">
      <c r="A162" t="s">
        <v>95</v>
      </c>
      <c r="B162">
        <v>2022</v>
      </c>
      <c r="C162" t="s">
        <v>28</v>
      </c>
      <c r="D162" t="s">
        <v>38</v>
      </c>
      <c r="E162" t="s">
        <v>39</v>
      </c>
      <c r="F162" s="3">
        <v>52618000</v>
      </c>
      <c r="G162" t="s">
        <v>43</v>
      </c>
    </row>
    <row r="163" spans="1:7" x14ac:dyDescent="0.2">
      <c r="A163" t="s">
        <v>95</v>
      </c>
      <c r="B163">
        <v>2021</v>
      </c>
      <c r="C163" t="s">
        <v>15</v>
      </c>
      <c r="D163" t="s">
        <v>16</v>
      </c>
      <c r="E163" t="s">
        <v>17</v>
      </c>
      <c r="F163" s="3">
        <v>5674000</v>
      </c>
      <c r="G163" t="s">
        <v>21</v>
      </c>
    </row>
    <row r="164" spans="1:7" x14ac:dyDescent="0.2">
      <c r="A164" t="s">
        <v>95</v>
      </c>
      <c r="B164">
        <v>2021</v>
      </c>
      <c r="C164" t="s">
        <v>15</v>
      </c>
      <c r="D164" t="s">
        <v>19</v>
      </c>
      <c r="E164" t="s">
        <v>20</v>
      </c>
      <c r="F164" s="3">
        <v>10392000</v>
      </c>
      <c r="G164" t="s">
        <v>96</v>
      </c>
    </row>
    <row r="165" spans="1:7" x14ac:dyDescent="0.2">
      <c r="A165" t="s">
        <v>95</v>
      </c>
      <c r="B165">
        <v>2021</v>
      </c>
      <c r="C165" t="s">
        <v>15</v>
      </c>
      <c r="D165" t="s">
        <v>24</v>
      </c>
      <c r="E165" t="s">
        <v>25</v>
      </c>
      <c r="F165" s="3">
        <v>8006000</v>
      </c>
      <c r="G165" t="s">
        <v>21</v>
      </c>
    </row>
    <row r="166" spans="1:7" x14ac:dyDescent="0.2">
      <c r="A166" t="s">
        <v>95</v>
      </c>
      <c r="B166">
        <v>2021</v>
      </c>
      <c r="C166" t="s">
        <v>15</v>
      </c>
      <c r="D166" t="s">
        <v>26</v>
      </c>
      <c r="E166" t="s">
        <v>27</v>
      </c>
      <c r="F166" s="3">
        <v>12191000</v>
      </c>
      <c r="G166" t="s">
        <v>21</v>
      </c>
    </row>
    <row r="167" spans="1:7" x14ac:dyDescent="0.2">
      <c r="A167" t="s">
        <v>95</v>
      </c>
      <c r="B167">
        <v>2021</v>
      </c>
      <c r="C167" t="s">
        <v>15</v>
      </c>
      <c r="D167" t="s">
        <v>22</v>
      </c>
      <c r="E167" t="s">
        <v>23</v>
      </c>
      <c r="F167" s="3">
        <v>-602000</v>
      </c>
      <c r="G167" t="s">
        <v>96</v>
      </c>
    </row>
    <row r="168" spans="1:7" x14ac:dyDescent="0.2">
      <c r="A168" t="s">
        <v>95</v>
      </c>
      <c r="B168">
        <v>2021</v>
      </c>
      <c r="C168" t="s">
        <v>28</v>
      </c>
      <c r="D168" t="s">
        <v>13</v>
      </c>
      <c r="E168" t="s">
        <v>35</v>
      </c>
      <c r="F168" s="3">
        <v>541447000</v>
      </c>
      <c r="G168" t="s">
        <v>41</v>
      </c>
    </row>
    <row r="169" spans="1:7" x14ac:dyDescent="0.2">
      <c r="A169" t="s">
        <v>95</v>
      </c>
      <c r="B169">
        <v>2021</v>
      </c>
      <c r="C169" t="s">
        <v>28</v>
      </c>
      <c r="D169" t="s">
        <v>29</v>
      </c>
      <c r="E169" t="s">
        <v>30</v>
      </c>
      <c r="F169" s="3">
        <v>303520000</v>
      </c>
      <c r="G169" t="s">
        <v>33</v>
      </c>
    </row>
    <row r="170" spans="1:7" x14ac:dyDescent="0.2">
      <c r="A170" t="s">
        <v>95</v>
      </c>
      <c r="B170">
        <v>2021</v>
      </c>
      <c r="C170" t="s">
        <v>28</v>
      </c>
      <c r="D170" t="s">
        <v>31</v>
      </c>
      <c r="E170" t="s">
        <v>32</v>
      </c>
      <c r="F170" s="3">
        <v>5274000</v>
      </c>
      <c r="G170" t="s">
        <v>34</v>
      </c>
    </row>
    <row r="171" spans="1:7" x14ac:dyDescent="0.2">
      <c r="A171" t="s">
        <v>95</v>
      </c>
      <c r="B171">
        <v>2021</v>
      </c>
      <c r="C171" t="s">
        <v>28</v>
      </c>
      <c r="D171" t="s">
        <v>36</v>
      </c>
      <c r="E171" t="s">
        <v>37</v>
      </c>
      <c r="F171" s="3">
        <v>430128000</v>
      </c>
      <c r="G171" t="s">
        <v>42</v>
      </c>
    </row>
    <row r="172" spans="1:7" x14ac:dyDescent="0.2">
      <c r="A172" t="s">
        <v>95</v>
      </c>
      <c r="B172">
        <v>2021</v>
      </c>
      <c r="C172" t="s">
        <v>28</v>
      </c>
      <c r="D172" t="s">
        <v>38</v>
      </c>
      <c r="E172" t="s">
        <v>39</v>
      </c>
      <c r="F172" s="3">
        <v>50487000</v>
      </c>
      <c r="G172" t="s">
        <v>43</v>
      </c>
    </row>
    <row r="173" spans="1:7" x14ac:dyDescent="0.2">
      <c r="A173" t="s">
        <v>95</v>
      </c>
      <c r="B173">
        <v>2020</v>
      </c>
      <c r="C173" t="s">
        <v>15</v>
      </c>
      <c r="D173" t="s">
        <v>16</v>
      </c>
      <c r="E173" t="s">
        <v>17</v>
      </c>
      <c r="F173" s="3">
        <v>4420000</v>
      </c>
      <c r="G173" t="s">
        <v>21</v>
      </c>
    </row>
    <row r="174" spans="1:7" x14ac:dyDescent="0.2">
      <c r="A174" t="s">
        <v>95</v>
      </c>
      <c r="B174">
        <v>2020</v>
      </c>
      <c r="C174" t="s">
        <v>15</v>
      </c>
      <c r="D174" t="s">
        <v>19</v>
      </c>
      <c r="E174" t="s">
        <v>20</v>
      </c>
      <c r="F174" s="3">
        <v>9879000</v>
      </c>
      <c r="G174" t="s">
        <v>96</v>
      </c>
    </row>
    <row r="175" spans="1:7" x14ac:dyDescent="0.2">
      <c r="A175" t="s">
        <v>95</v>
      </c>
      <c r="B175">
        <v>2020</v>
      </c>
      <c r="C175" t="s">
        <v>15</v>
      </c>
      <c r="D175" t="s">
        <v>24</v>
      </c>
      <c r="E175" t="s">
        <v>25</v>
      </c>
      <c r="F175" s="3">
        <v>7920000</v>
      </c>
      <c r="G175" t="s">
        <v>21</v>
      </c>
    </row>
    <row r="176" spans="1:7" x14ac:dyDescent="0.2">
      <c r="A176" t="s">
        <v>95</v>
      </c>
      <c r="B176">
        <v>2020</v>
      </c>
      <c r="C176" t="s">
        <v>15</v>
      </c>
      <c r="D176" t="s">
        <v>26</v>
      </c>
      <c r="E176" t="s">
        <v>27</v>
      </c>
      <c r="F176" s="3">
        <v>12505000</v>
      </c>
      <c r="G176" t="s">
        <v>21</v>
      </c>
    </row>
    <row r="177" spans="1:7" x14ac:dyDescent="0.2">
      <c r="A177" t="s">
        <v>95</v>
      </c>
      <c r="B177">
        <v>2020</v>
      </c>
      <c r="C177" t="s">
        <v>15</v>
      </c>
      <c r="D177" t="s">
        <v>22</v>
      </c>
      <c r="E177" t="s">
        <v>23</v>
      </c>
      <c r="F177" s="3">
        <v>3990000</v>
      </c>
      <c r="G177" t="s">
        <v>96</v>
      </c>
    </row>
    <row r="178" spans="1:7" x14ac:dyDescent="0.2">
      <c r="A178" t="s">
        <v>95</v>
      </c>
      <c r="B178">
        <v>2020</v>
      </c>
      <c r="C178" t="s">
        <v>28</v>
      </c>
      <c r="D178" t="s">
        <v>13</v>
      </c>
      <c r="E178" t="s">
        <v>35</v>
      </c>
      <c r="F178" s="3">
        <v>466233000</v>
      </c>
      <c r="G178" t="s">
        <v>41</v>
      </c>
    </row>
    <row r="179" spans="1:7" x14ac:dyDescent="0.2">
      <c r="A179" t="s">
        <v>95</v>
      </c>
      <c r="B179">
        <v>2020</v>
      </c>
      <c r="C179" t="s">
        <v>28</v>
      </c>
      <c r="D179" t="s">
        <v>29</v>
      </c>
      <c r="E179" t="s">
        <v>30</v>
      </c>
      <c r="F179" s="3">
        <v>248320000</v>
      </c>
      <c r="G179" t="s">
        <v>33</v>
      </c>
    </row>
    <row r="180" spans="1:7" x14ac:dyDescent="0.2">
      <c r="A180" t="s">
        <v>95</v>
      </c>
      <c r="B180">
        <v>2020</v>
      </c>
      <c r="C180" t="s">
        <v>28</v>
      </c>
      <c r="D180" t="s">
        <v>31</v>
      </c>
      <c r="E180" t="s">
        <v>32</v>
      </c>
      <c r="F180" s="3">
        <v>5094000</v>
      </c>
      <c r="G180" t="s">
        <v>34</v>
      </c>
    </row>
    <row r="181" spans="1:7" x14ac:dyDescent="0.2">
      <c r="A181" t="s">
        <v>95</v>
      </c>
      <c r="B181">
        <v>2020</v>
      </c>
      <c r="C181" t="s">
        <v>28</v>
      </c>
      <c r="D181" t="s">
        <v>36</v>
      </c>
      <c r="E181" t="s">
        <v>37</v>
      </c>
      <c r="F181" s="3">
        <v>383933000</v>
      </c>
      <c r="G181" t="s">
        <v>42</v>
      </c>
    </row>
    <row r="182" spans="1:7" x14ac:dyDescent="0.2">
      <c r="A182" t="s">
        <v>95</v>
      </c>
      <c r="B182">
        <v>2020</v>
      </c>
      <c r="C182" t="s">
        <v>28</v>
      </c>
      <c r="D182" t="s">
        <v>38</v>
      </c>
      <c r="E182" t="s">
        <v>39</v>
      </c>
      <c r="F182" s="3">
        <v>46286000</v>
      </c>
      <c r="G182" t="s">
        <v>43</v>
      </c>
    </row>
    <row r="183" spans="1:7" x14ac:dyDescent="0.2">
      <c r="A183" t="s">
        <v>97</v>
      </c>
      <c r="B183">
        <v>2025</v>
      </c>
      <c r="C183" t="s">
        <v>15</v>
      </c>
      <c r="D183" t="s">
        <v>16</v>
      </c>
      <c r="E183" t="s">
        <v>17</v>
      </c>
      <c r="F183" s="3">
        <v>5537000</v>
      </c>
      <c r="G183" t="s">
        <v>18</v>
      </c>
    </row>
    <row r="184" spans="1:7" x14ac:dyDescent="0.2">
      <c r="A184" t="s">
        <v>97</v>
      </c>
      <c r="B184">
        <v>2025</v>
      </c>
      <c r="C184" t="s">
        <v>15</v>
      </c>
      <c r="D184" t="s">
        <v>19</v>
      </c>
      <c r="E184" t="s">
        <v>20</v>
      </c>
      <c r="F184" s="3">
        <v>14812000</v>
      </c>
      <c r="G184" t="s">
        <v>21</v>
      </c>
    </row>
    <row r="185" spans="1:7" x14ac:dyDescent="0.2">
      <c r="A185" t="s">
        <v>97</v>
      </c>
      <c r="B185">
        <v>2025</v>
      </c>
      <c r="C185" t="s">
        <v>15</v>
      </c>
      <c r="D185" t="s">
        <v>24</v>
      </c>
      <c r="E185" t="s">
        <v>25</v>
      </c>
      <c r="F185" s="3">
        <v>4527000</v>
      </c>
      <c r="G185" t="s">
        <v>18</v>
      </c>
    </row>
    <row r="186" spans="1:7" x14ac:dyDescent="0.2">
      <c r="A186" t="s">
        <v>97</v>
      </c>
      <c r="B186">
        <v>2025</v>
      </c>
      <c r="C186" t="s">
        <v>15</v>
      </c>
      <c r="D186" t="s">
        <v>26</v>
      </c>
      <c r="E186" t="s">
        <v>27</v>
      </c>
      <c r="F186" s="3">
        <v>10810000</v>
      </c>
      <c r="G186" t="s">
        <v>18</v>
      </c>
    </row>
    <row r="187" spans="1:7" x14ac:dyDescent="0.2">
      <c r="A187" t="s">
        <v>97</v>
      </c>
      <c r="B187">
        <v>2025</v>
      </c>
      <c r="C187" t="s">
        <v>15</v>
      </c>
      <c r="D187" t="s">
        <v>22</v>
      </c>
      <c r="E187" t="s">
        <v>23</v>
      </c>
      <c r="F187" s="3">
        <v>1896000</v>
      </c>
      <c r="G187" t="s">
        <v>21</v>
      </c>
    </row>
    <row r="188" spans="1:7" x14ac:dyDescent="0.2">
      <c r="A188" t="s">
        <v>97</v>
      </c>
      <c r="B188">
        <v>2025</v>
      </c>
      <c r="C188" t="s">
        <v>28</v>
      </c>
      <c r="D188" t="s">
        <v>13</v>
      </c>
      <c r="E188" t="s">
        <v>35</v>
      </c>
      <c r="F188" s="3">
        <v>535800000</v>
      </c>
      <c r="G188" t="s">
        <v>41</v>
      </c>
    </row>
    <row r="189" spans="1:7" x14ac:dyDescent="0.2">
      <c r="A189" t="s">
        <v>97</v>
      </c>
      <c r="B189">
        <v>2025</v>
      </c>
      <c r="C189" t="s">
        <v>28</v>
      </c>
      <c r="D189" t="s">
        <v>29</v>
      </c>
      <c r="E189" t="s">
        <v>30</v>
      </c>
      <c r="F189" s="3">
        <v>318200000</v>
      </c>
      <c r="G189" t="s">
        <v>45</v>
      </c>
    </row>
    <row r="190" spans="1:7" x14ac:dyDescent="0.2">
      <c r="A190" t="s">
        <v>97</v>
      </c>
      <c r="B190">
        <v>2025</v>
      </c>
      <c r="C190" t="s">
        <v>28</v>
      </c>
      <c r="D190" t="s">
        <v>31</v>
      </c>
      <c r="E190" t="s">
        <v>32</v>
      </c>
      <c r="F190" s="3">
        <v>5890000</v>
      </c>
      <c r="G190" t="s">
        <v>34</v>
      </c>
    </row>
    <row r="191" spans="1:7" x14ac:dyDescent="0.2">
      <c r="A191" t="s">
        <v>97</v>
      </c>
      <c r="B191">
        <v>2025</v>
      </c>
      <c r="C191" t="s">
        <v>28</v>
      </c>
      <c r="D191" t="s">
        <v>36</v>
      </c>
      <c r="E191" t="s">
        <v>37</v>
      </c>
      <c r="F191" s="3">
        <v>412300000</v>
      </c>
      <c r="G191" t="s">
        <v>46</v>
      </c>
    </row>
    <row r="192" spans="1:7" x14ac:dyDescent="0.2">
      <c r="A192" t="s">
        <v>97</v>
      </c>
      <c r="B192">
        <v>2025</v>
      </c>
      <c r="C192" t="s">
        <v>28</v>
      </c>
      <c r="D192" t="s">
        <v>38</v>
      </c>
      <c r="E192" t="s">
        <v>39</v>
      </c>
      <c r="F192" s="3">
        <v>49600000</v>
      </c>
      <c r="G192" t="s">
        <v>41</v>
      </c>
    </row>
    <row r="193" spans="1:7" x14ac:dyDescent="0.2">
      <c r="A193" t="s">
        <v>97</v>
      </c>
      <c r="B193">
        <v>2024</v>
      </c>
      <c r="C193" t="s">
        <v>15</v>
      </c>
      <c r="D193" t="s">
        <v>16</v>
      </c>
      <c r="E193" t="s">
        <v>17</v>
      </c>
      <c r="F193" s="3">
        <v>5043000</v>
      </c>
      <c r="G193" t="s">
        <v>18</v>
      </c>
    </row>
    <row r="194" spans="1:7" x14ac:dyDescent="0.2">
      <c r="A194" t="s">
        <v>97</v>
      </c>
      <c r="B194">
        <v>2024</v>
      </c>
      <c r="C194" t="s">
        <v>15</v>
      </c>
      <c r="D194" t="s">
        <v>19</v>
      </c>
      <c r="E194" t="s">
        <v>20</v>
      </c>
      <c r="F194" s="3">
        <v>14685000</v>
      </c>
      <c r="G194" t="s">
        <v>21</v>
      </c>
    </row>
    <row r="195" spans="1:7" x14ac:dyDescent="0.2">
      <c r="A195" t="s">
        <v>97</v>
      </c>
      <c r="B195">
        <v>2024</v>
      </c>
      <c r="C195" t="s">
        <v>15</v>
      </c>
      <c r="D195" t="s">
        <v>24</v>
      </c>
      <c r="E195" t="s">
        <v>25</v>
      </c>
      <c r="F195" s="3">
        <v>4295000</v>
      </c>
      <c r="G195" t="s">
        <v>18</v>
      </c>
    </row>
    <row r="196" spans="1:7" x14ac:dyDescent="0.2">
      <c r="A196" t="s">
        <v>97</v>
      </c>
      <c r="B196">
        <v>2024</v>
      </c>
      <c r="C196" t="s">
        <v>15</v>
      </c>
      <c r="D196" t="s">
        <v>26</v>
      </c>
      <c r="E196" t="s">
        <v>27</v>
      </c>
      <c r="F196" s="3">
        <v>10797000</v>
      </c>
      <c r="G196" t="s">
        <v>18</v>
      </c>
    </row>
    <row r="197" spans="1:7" x14ac:dyDescent="0.2">
      <c r="A197" t="s">
        <v>97</v>
      </c>
      <c r="B197">
        <v>2024</v>
      </c>
      <c r="C197" t="s">
        <v>15</v>
      </c>
      <c r="D197" t="s">
        <v>22</v>
      </c>
      <c r="E197" t="s">
        <v>23</v>
      </c>
      <c r="F197" s="3">
        <v>1871000</v>
      </c>
      <c r="G197" t="s">
        <v>21</v>
      </c>
    </row>
    <row r="198" spans="1:7" x14ac:dyDescent="0.2">
      <c r="A198" t="s">
        <v>97</v>
      </c>
      <c r="B198">
        <v>2024</v>
      </c>
      <c r="C198" t="s">
        <v>28</v>
      </c>
      <c r="D198" t="s">
        <v>13</v>
      </c>
      <c r="E198" t="s">
        <v>35</v>
      </c>
      <c r="F198" s="3">
        <v>540600000</v>
      </c>
      <c r="G198" t="s">
        <v>41</v>
      </c>
    </row>
    <row r="199" spans="1:7" x14ac:dyDescent="0.2">
      <c r="A199" t="s">
        <v>97</v>
      </c>
      <c r="B199">
        <v>2024</v>
      </c>
      <c r="C199" t="s">
        <v>28</v>
      </c>
      <c r="D199" t="s">
        <v>29</v>
      </c>
      <c r="E199" t="s">
        <v>30</v>
      </c>
      <c r="F199" s="3">
        <v>321700000</v>
      </c>
      <c r="G199" t="s">
        <v>45</v>
      </c>
    </row>
    <row r="200" spans="1:7" x14ac:dyDescent="0.2">
      <c r="A200" t="s">
        <v>97</v>
      </c>
      <c r="B200">
        <v>2024</v>
      </c>
      <c r="C200" t="s">
        <v>28</v>
      </c>
      <c r="D200" t="s">
        <v>31</v>
      </c>
      <c r="E200" t="s">
        <v>32</v>
      </c>
      <c r="F200" s="3">
        <v>5720000</v>
      </c>
      <c r="G200" t="s">
        <v>34</v>
      </c>
    </row>
    <row r="201" spans="1:7" x14ac:dyDescent="0.2">
      <c r="A201" t="s">
        <v>97</v>
      </c>
      <c r="B201">
        <v>2024</v>
      </c>
      <c r="C201" t="s">
        <v>28</v>
      </c>
      <c r="D201" t="s">
        <v>36</v>
      </c>
      <c r="E201" t="s">
        <v>37</v>
      </c>
      <c r="F201" s="3">
        <v>417900000</v>
      </c>
      <c r="G201" t="s">
        <v>46</v>
      </c>
    </row>
    <row r="202" spans="1:7" x14ac:dyDescent="0.2">
      <c r="A202" t="s">
        <v>97</v>
      </c>
      <c r="B202">
        <v>2024</v>
      </c>
      <c r="C202" t="s">
        <v>28</v>
      </c>
      <c r="D202" t="s">
        <v>38</v>
      </c>
      <c r="E202" t="s">
        <v>39</v>
      </c>
      <c r="F202" s="3">
        <v>49200000</v>
      </c>
      <c r="G202" t="s">
        <v>41</v>
      </c>
    </row>
    <row r="203" spans="1:7" x14ac:dyDescent="0.2">
      <c r="A203" t="s">
        <v>97</v>
      </c>
      <c r="B203">
        <v>2023</v>
      </c>
      <c r="C203" t="s">
        <v>15</v>
      </c>
      <c r="D203" t="s">
        <v>16</v>
      </c>
      <c r="E203" t="s">
        <v>17</v>
      </c>
      <c r="F203" s="3">
        <v>4720000</v>
      </c>
      <c r="G203" t="s">
        <v>18</v>
      </c>
    </row>
    <row r="204" spans="1:7" x14ac:dyDescent="0.2">
      <c r="A204" t="s">
        <v>97</v>
      </c>
      <c r="B204">
        <v>2023</v>
      </c>
      <c r="C204" t="s">
        <v>15</v>
      </c>
      <c r="D204" t="s">
        <v>19</v>
      </c>
      <c r="E204" t="s">
        <v>20</v>
      </c>
      <c r="F204" s="3">
        <v>15530000</v>
      </c>
      <c r="G204" t="s">
        <v>21</v>
      </c>
    </row>
    <row r="205" spans="1:7" x14ac:dyDescent="0.2">
      <c r="A205" t="s">
        <v>97</v>
      </c>
      <c r="B205">
        <v>2023</v>
      </c>
      <c r="C205" t="s">
        <v>15</v>
      </c>
      <c r="D205" t="s">
        <v>24</v>
      </c>
      <c r="E205" t="s">
        <v>25</v>
      </c>
      <c r="F205" s="3">
        <v>5130000</v>
      </c>
      <c r="G205" t="s">
        <v>18</v>
      </c>
    </row>
    <row r="206" spans="1:7" x14ac:dyDescent="0.2">
      <c r="A206" t="s">
        <v>97</v>
      </c>
      <c r="B206">
        <v>2023</v>
      </c>
      <c r="C206" t="s">
        <v>15</v>
      </c>
      <c r="D206" t="s">
        <v>26</v>
      </c>
      <c r="E206" t="s">
        <v>27</v>
      </c>
      <c r="F206" s="3">
        <v>11980000</v>
      </c>
      <c r="G206" t="s">
        <v>18</v>
      </c>
    </row>
    <row r="207" spans="1:7" x14ac:dyDescent="0.2">
      <c r="A207" t="s">
        <v>97</v>
      </c>
      <c r="B207">
        <v>2023</v>
      </c>
      <c r="C207" t="s">
        <v>15</v>
      </c>
      <c r="D207" t="s">
        <v>22</v>
      </c>
      <c r="E207" t="s">
        <v>23</v>
      </c>
      <c r="F207" s="3">
        <v>2210000</v>
      </c>
      <c r="G207" t="s">
        <v>21</v>
      </c>
    </row>
    <row r="208" spans="1:7" x14ac:dyDescent="0.2">
      <c r="A208" t="s">
        <v>97</v>
      </c>
      <c r="B208">
        <v>2023</v>
      </c>
      <c r="C208" t="s">
        <v>28</v>
      </c>
      <c r="D208" t="s">
        <v>13</v>
      </c>
      <c r="E208" t="s">
        <v>35</v>
      </c>
      <c r="F208" s="3">
        <v>555400000</v>
      </c>
      <c r="G208" t="s">
        <v>41</v>
      </c>
    </row>
    <row r="209" spans="1:7" x14ac:dyDescent="0.2">
      <c r="A209" t="s">
        <v>97</v>
      </c>
      <c r="B209">
        <v>2023</v>
      </c>
      <c r="C209" t="s">
        <v>28</v>
      </c>
      <c r="D209" t="s">
        <v>29</v>
      </c>
      <c r="E209" t="s">
        <v>30</v>
      </c>
      <c r="F209" s="3">
        <v>330900000</v>
      </c>
      <c r="G209" t="s">
        <v>45</v>
      </c>
    </row>
    <row r="210" spans="1:7" x14ac:dyDescent="0.2">
      <c r="A210" t="s">
        <v>97</v>
      </c>
      <c r="B210">
        <v>2023</v>
      </c>
      <c r="C210" t="s">
        <v>28</v>
      </c>
      <c r="D210" t="s">
        <v>31</v>
      </c>
      <c r="E210" t="s">
        <v>32</v>
      </c>
      <c r="F210" s="3">
        <v>5980000</v>
      </c>
      <c r="G210" t="s">
        <v>34</v>
      </c>
    </row>
    <row r="211" spans="1:7" x14ac:dyDescent="0.2">
      <c r="A211" t="s">
        <v>97</v>
      </c>
      <c r="B211">
        <v>2023</v>
      </c>
      <c r="C211" t="s">
        <v>28</v>
      </c>
      <c r="D211" t="s">
        <v>36</v>
      </c>
      <c r="E211" t="s">
        <v>37</v>
      </c>
      <c r="F211" s="3">
        <v>425600000</v>
      </c>
      <c r="G211" t="s">
        <v>46</v>
      </c>
    </row>
    <row r="212" spans="1:7" x14ac:dyDescent="0.2">
      <c r="A212" t="s">
        <v>97</v>
      </c>
      <c r="B212">
        <v>2023</v>
      </c>
      <c r="C212" t="s">
        <v>28</v>
      </c>
      <c r="D212" t="s">
        <v>38</v>
      </c>
      <c r="E212" t="s">
        <v>39</v>
      </c>
      <c r="F212" s="3">
        <v>51700000</v>
      </c>
      <c r="G212" t="s">
        <v>41</v>
      </c>
    </row>
    <row r="213" spans="1:7" x14ac:dyDescent="0.2">
      <c r="A213" t="s">
        <v>97</v>
      </c>
      <c r="B213">
        <v>2022</v>
      </c>
      <c r="C213" t="s">
        <v>15</v>
      </c>
      <c r="D213" t="s">
        <v>16</v>
      </c>
      <c r="E213" t="s">
        <v>17</v>
      </c>
      <c r="F213" s="3">
        <v>5970000</v>
      </c>
      <c r="G213" t="s">
        <v>18</v>
      </c>
    </row>
    <row r="214" spans="1:7" x14ac:dyDescent="0.2">
      <c r="A214" t="s">
        <v>97</v>
      </c>
      <c r="B214">
        <v>2022</v>
      </c>
      <c r="C214" t="s">
        <v>15</v>
      </c>
      <c r="D214" t="s">
        <v>19</v>
      </c>
      <c r="E214" t="s">
        <v>20</v>
      </c>
      <c r="F214" s="3">
        <v>16430000</v>
      </c>
      <c r="G214" t="s">
        <v>21</v>
      </c>
    </row>
    <row r="215" spans="1:7" x14ac:dyDescent="0.2">
      <c r="A215" t="s">
        <v>97</v>
      </c>
      <c r="B215">
        <v>2022</v>
      </c>
      <c r="C215" t="s">
        <v>15</v>
      </c>
      <c r="D215" t="s">
        <v>24</v>
      </c>
      <c r="E215" t="s">
        <v>25</v>
      </c>
      <c r="F215" s="3">
        <v>5980000</v>
      </c>
      <c r="G215" t="s">
        <v>18</v>
      </c>
    </row>
    <row r="216" spans="1:7" x14ac:dyDescent="0.2">
      <c r="A216" t="s">
        <v>97</v>
      </c>
      <c r="B216">
        <v>2022</v>
      </c>
      <c r="C216" t="s">
        <v>15</v>
      </c>
      <c r="D216" t="s">
        <v>26</v>
      </c>
      <c r="E216" t="s">
        <v>27</v>
      </c>
      <c r="F216" s="3">
        <v>12940000</v>
      </c>
      <c r="G216" t="s">
        <v>18</v>
      </c>
    </row>
    <row r="217" spans="1:7" x14ac:dyDescent="0.2">
      <c r="A217" t="s">
        <v>97</v>
      </c>
      <c r="B217">
        <v>2022</v>
      </c>
      <c r="C217" t="s">
        <v>15</v>
      </c>
      <c r="D217" t="s">
        <v>22</v>
      </c>
      <c r="E217" t="s">
        <v>23</v>
      </c>
      <c r="F217" s="3">
        <v>1480000</v>
      </c>
      <c r="G217" t="s">
        <v>21</v>
      </c>
    </row>
    <row r="218" spans="1:7" x14ac:dyDescent="0.2">
      <c r="A218" t="s">
        <v>97</v>
      </c>
      <c r="B218">
        <v>2022</v>
      </c>
      <c r="C218" t="s">
        <v>28</v>
      </c>
      <c r="D218" t="s">
        <v>13</v>
      </c>
      <c r="E218" t="s">
        <v>35</v>
      </c>
      <c r="F218" s="3">
        <v>563900000</v>
      </c>
      <c r="G218" t="s">
        <v>41</v>
      </c>
    </row>
    <row r="219" spans="1:7" x14ac:dyDescent="0.2">
      <c r="A219" t="s">
        <v>97</v>
      </c>
      <c r="B219">
        <v>2022</v>
      </c>
      <c r="C219" t="s">
        <v>28</v>
      </c>
      <c r="D219" t="s">
        <v>29</v>
      </c>
      <c r="E219" t="s">
        <v>30</v>
      </c>
      <c r="F219" s="3">
        <v>338100000</v>
      </c>
      <c r="G219" t="s">
        <v>45</v>
      </c>
    </row>
    <row r="220" spans="1:7" x14ac:dyDescent="0.2">
      <c r="A220" t="s">
        <v>97</v>
      </c>
      <c r="B220">
        <v>2022</v>
      </c>
      <c r="C220" t="s">
        <v>28</v>
      </c>
      <c r="D220" t="s">
        <v>31</v>
      </c>
      <c r="E220" t="s">
        <v>32</v>
      </c>
      <c r="F220" s="3">
        <v>6200000</v>
      </c>
      <c r="G220" t="s">
        <v>34</v>
      </c>
    </row>
    <row r="221" spans="1:7" x14ac:dyDescent="0.2">
      <c r="A221" t="s">
        <v>97</v>
      </c>
      <c r="B221">
        <v>2022</v>
      </c>
      <c r="C221" t="s">
        <v>28</v>
      </c>
      <c r="D221" t="s">
        <v>36</v>
      </c>
      <c r="E221" t="s">
        <v>37</v>
      </c>
      <c r="F221" s="3">
        <v>435800000</v>
      </c>
      <c r="G221" t="s">
        <v>46</v>
      </c>
    </row>
    <row r="222" spans="1:7" x14ac:dyDescent="0.2">
      <c r="A222" t="s">
        <v>97</v>
      </c>
      <c r="B222">
        <v>2022</v>
      </c>
      <c r="C222" t="s">
        <v>28</v>
      </c>
      <c r="D222" t="s">
        <v>38</v>
      </c>
      <c r="E222" t="s">
        <v>39</v>
      </c>
      <c r="F222" s="3">
        <v>53700000</v>
      </c>
      <c r="G222" t="s">
        <v>41</v>
      </c>
    </row>
    <row r="223" spans="1:7" x14ac:dyDescent="0.2">
      <c r="A223" t="s">
        <v>97</v>
      </c>
      <c r="B223">
        <v>2021</v>
      </c>
      <c r="C223" t="s">
        <v>15</v>
      </c>
      <c r="D223" t="s">
        <v>16</v>
      </c>
      <c r="E223" t="s">
        <v>17</v>
      </c>
      <c r="F223" s="3">
        <v>5569000</v>
      </c>
      <c r="G223" t="s">
        <v>18</v>
      </c>
    </row>
    <row r="224" spans="1:7" x14ac:dyDescent="0.2">
      <c r="A224" t="s">
        <v>97</v>
      </c>
      <c r="B224">
        <v>2021</v>
      </c>
      <c r="C224" t="s">
        <v>15</v>
      </c>
      <c r="D224" t="s">
        <v>19</v>
      </c>
      <c r="E224" t="s">
        <v>20</v>
      </c>
      <c r="F224" s="3">
        <v>12371000</v>
      </c>
      <c r="G224" t="s">
        <v>21</v>
      </c>
    </row>
    <row r="225" spans="1:7" x14ac:dyDescent="0.2">
      <c r="A225" t="s">
        <v>97</v>
      </c>
      <c r="B225">
        <v>2021</v>
      </c>
      <c r="C225" t="s">
        <v>15</v>
      </c>
      <c r="D225" t="s">
        <v>24</v>
      </c>
      <c r="E225" t="s">
        <v>25</v>
      </c>
      <c r="F225" s="3">
        <v>7310000</v>
      </c>
      <c r="G225" t="s">
        <v>18</v>
      </c>
    </row>
    <row r="226" spans="1:7" x14ac:dyDescent="0.2">
      <c r="A226" t="s">
        <v>97</v>
      </c>
      <c r="B226">
        <v>2021</v>
      </c>
      <c r="C226" t="s">
        <v>15</v>
      </c>
      <c r="D226" t="s">
        <v>26</v>
      </c>
      <c r="E226" t="s">
        <v>27</v>
      </c>
      <c r="F226" s="3">
        <v>13790000</v>
      </c>
      <c r="G226" t="s">
        <v>18</v>
      </c>
    </row>
    <row r="227" spans="1:7" x14ac:dyDescent="0.2">
      <c r="A227" t="s">
        <v>97</v>
      </c>
      <c r="B227">
        <v>2021</v>
      </c>
      <c r="C227" t="s">
        <v>15</v>
      </c>
      <c r="D227" t="s">
        <v>22</v>
      </c>
      <c r="E227" t="s">
        <v>23</v>
      </c>
      <c r="F227" s="3">
        <v>-917000</v>
      </c>
      <c r="G227" t="s">
        <v>21</v>
      </c>
    </row>
    <row r="228" spans="1:7" x14ac:dyDescent="0.2">
      <c r="A228" t="s">
        <v>97</v>
      </c>
      <c r="B228">
        <v>2021</v>
      </c>
      <c r="C228" t="s">
        <v>28</v>
      </c>
      <c r="D228" t="s">
        <v>13</v>
      </c>
      <c r="E228" t="s">
        <v>35</v>
      </c>
      <c r="F228" s="3">
        <v>541200000</v>
      </c>
      <c r="G228" t="s">
        <v>34</v>
      </c>
    </row>
    <row r="229" spans="1:7" x14ac:dyDescent="0.2">
      <c r="A229" t="s">
        <v>97</v>
      </c>
      <c r="B229">
        <v>2021</v>
      </c>
      <c r="C229" t="s">
        <v>28</v>
      </c>
      <c r="D229" t="s">
        <v>29</v>
      </c>
      <c r="E229" t="s">
        <v>30</v>
      </c>
      <c r="F229" s="3">
        <v>309400000</v>
      </c>
      <c r="G229" t="s">
        <v>98</v>
      </c>
    </row>
    <row r="230" spans="1:7" x14ac:dyDescent="0.2">
      <c r="A230" t="s">
        <v>97</v>
      </c>
      <c r="B230">
        <v>2021</v>
      </c>
      <c r="C230" t="s">
        <v>28</v>
      </c>
      <c r="D230" t="s">
        <v>31</v>
      </c>
      <c r="E230" t="s">
        <v>32</v>
      </c>
      <c r="F230" s="3">
        <v>7100000</v>
      </c>
      <c r="G230" t="s">
        <v>34</v>
      </c>
    </row>
    <row r="231" spans="1:7" x14ac:dyDescent="0.2">
      <c r="A231" t="s">
        <v>97</v>
      </c>
      <c r="B231">
        <v>2021</v>
      </c>
      <c r="C231" t="s">
        <v>28</v>
      </c>
      <c r="D231" t="s">
        <v>36</v>
      </c>
      <c r="E231" t="s">
        <v>37</v>
      </c>
      <c r="F231" s="3">
        <v>428200000</v>
      </c>
      <c r="G231" t="s">
        <v>99</v>
      </c>
    </row>
    <row r="232" spans="1:7" x14ac:dyDescent="0.2">
      <c r="A232" t="s">
        <v>97</v>
      </c>
      <c r="B232">
        <v>2021</v>
      </c>
      <c r="C232" t="s">
        <v>28</v>
      </c>
      <c r="D232" t="s">
        <v>38</v>
      </c>
      <c r="E232" t="s">
        <v>39</v>
      </c>
      <c r="F232" s="3">
        <v>52100000</v>
      </c>
      <c r="G232" t="s">
        <v>34</v>
      </c>
    </row>
    <row r="233" spans="1:7" x14ac:dyDescent="0.2">
      <c r="A233" t="s">
        <v>97</v>
      </c>
      <c r="B233">
        <v>2020</v>
      </c>
      <c r="C233" t="s">
        <v>15</v>
      </c>
      <c r="D233" t="s">
        <v>16</v>
      </c>
      <c r="E233" t="s">
        <v>17</v>
      </c>
      <c r="F233" s="3">
        <v>1370000</v>
      </c>
      <c r="G233" t="s">
        <v>18</v>
      </c>
    </row>
    <row r="234" spans="1:7" x14ac:dyDescent="0.2">
      <c r="A234" t="s">
        <v>97</v>
      </c>
      <c r="B234">
        <v>2020</v>
      </c>
      <c r="C234" t="s">
        <v>15</v>
      </c>
      <c r="D234" t="s">
        <v>19</v>
      </c>
      <c r="E234" t="s">
        <v>20</v>
      </c>
      <c r="F234" s="3">
        <v>12640000</v>
      </c>
      <c r="G234" t="s">
        <v>21</v>
      </c>
    </row>
    <row r="235" spans="1:7" x14ac:dyDescent="0.2">
      <c r="A235" t="s">
        <v>97</v>
      </c>
      <c r="B235">
        <v>2020</v>
      </c>
      <c r="C235" t="s">
        <v>15</v>
      </c>
      <c r="D235" t="s">
        <v>24</v>
      </c>
      <c r="E235" t="s">
        <v>25</v>
      </c>
      <c r="F235" s="3">
        <v>6320000</v>
      </c>
      <c r="G235" t="s">
        <v>18</v>
      </c>
    </row>
    <row r="236" spans="1:7" x14ac:dyDescent="0.2">
      <c r="A236" t="s">
        <v>97</v>
      </c>
      <c r="B236">
        <v>2020</v>
      </c>
      <c r="C236" t="s">
        <v>15</v>
      </c>
      <c r="D236" t="s">
        <v>26</v>
      </c>
      <c r="E236" t="s">
        <v>27</v>
      </c>
      <c r="F236" s="3">
        <v>14210000</v>
      </c>
      <c r="G236" t="s">
        <v>18</v>
      </c>
    </row>
    <row r="237" spans="1:7" x14ac:dyDescent="0.2">
      <c r="A237" t="s">
        <v>97</v>
      </c>
      <c r="B237">
        <v>2020</v>
      </c>
      <c r="C237" t="s">
        <v>15</v>
      </c>
      <c r="D237" t="s">
        <v>22</v>
      </c>
      <c r="E237" t="s">
        <v>23</v>
      </c>
      <c r="F237" s="3">
        <v>4820000</v>
      </c>
      <c r="G237" t="s">
        <v>21</v>
      </c>
    </row>
    <row r="238" spans="1:7" x14ac:dyDescent="0.2">
      <c r="A238" t="s">
        <v>97</v>
      </c>
      <c r="B238">
        <v>2020</v>
      </c>
      <c r="C238" t="s">
        <v>28</v>
      </c>
      <c r="D238" t="s">
        <v>13</v>
      </c>
      <c r="E238" t="s">
        <v>35</v>
      </c>
      <c r="F238" s="3">
        <v>509300000</v>
      </c>
      <c r="G238" t="s">
        <v>34</v>
      </c>
    </row>
    <row r="239" spans="1:7" x14ac:dyDescent="0.2">
      <c r="A239" t="s">
        <v>97</v>
      </c>
      <c r="B239">
        <v>2020</v>
      </c>
      <c r="C239" t="s">
        <v>28</v>
      </c>
      <c r="D239" t="s">
        <v>29</v>
      </c>
      <c r="E239" t="s">
        <v>30</v>
      </c>
      <c r="F239" s="3">
        <v>296800000</v>
      </c>
      <c r="G239" t="s">
        <v>98</v>
      </c>
    </row>
    <row r="240" spans="1:7" x14ac:dyDescent="0.2">
      <c r="A240" t="s">
        <v>97</v>
      </c>
      <c r="B240">
        <v>2020</v>
      </c>
      <c r="C240" t="s">
        <v>28</v>
      </c>
      <c r="D240" t="s">
        <v>31</v>
      </c>
      <c r="E240" t="s">
        <v>32</v>
      </c>
      <c r="F240" s="3">
        <v>8400000</v>
      </c>
      <c r="G240" t="s">
        <v>34</v>
      </c>
    </row>
    <row r="241" spans="1:7" x14ac:dyDescent="0.2">
      <c r="A241" t="s">
        <v>97</v>
      </c>
      <c r="B241">
        <v>2020</v>
      </c>
      <c r="C241" t="s">
        <v>28</v>
      </c>
      <c r="D241" t="s">
        <v>36</v>
      </c>
      <c r="E241" t="s">
        <v>37</v>
      </c>
      <c r="F241" s="3">
        <v>392600000</v>
      </c>
      <c r="G241" t="s">
        <v>99</v>
      </c>
    </row>
    <row r="242" spans="1:7" x14ac:dyDescent="0.2">
      <c r="A242" t="s">
        <v>97</v>
      </c>
      <c r="B242">
        <v>2020</v>
      </c>
      <c r="C242" t="s">
        <v>28</v>
      </c>
      <c r="D242" t="s">
        <v>38</v>
      </c>
      <c r="E242" t="s">
        <v>39</v>
      </c>
      <c r="F242" s="3">
        <v>51300000</v>
      </c>
      <c r="G242" t="s">
        <v>34</v>
      </c>
    </row>
    <row r="243" spans="1:7" x14ac:dyDescent="0.2">
      <c r="A243" t="s">
        <v>100</v>
      </c>
      <c r="B243">
        <v>2025</v>
      </c>
      <c r="C243" t="s">
        <v>15</v>
      </c>
      <c r="D243" t="s">
        <v>16</v>
      </c>
      <c r="E243" t="s">
        <v>17</v>
      </c>
      <c r="F243" s="3">
        <v>96231</v>
      </c>
      <c r="G243" t="s">
        <v>21</v>
      </c>
    </row>
    <row r="244" spans="1:7" x14ac:dyDescent="0.2">
      <c r="A244" t="s">
        <v>100</v>
      </c>
      <c r="B244">
        <v>2025</v>
      </c>
      <c r="C244" t="s">
        <v>15</v>
      </c>
      <c r="D244" t="s">
        <v>19</v>
      </c>
      <c r="E244" t="s">
        <v>20</v>
      </c>
      <c r="F244" s="3">
        <v>221396</v>
      </c>
      <c r="G244" t="s">
        <v>96</v>
      </c>
    </row>
    <row r="245" spans="1:7" x14ac:dyDescent="0.2">
      <c r="A245" t="s">
        <v>100</v>
      </c>
      <c r="B245">
        <v>2025</v>
      </c>
      <c r="C245" t="s">
        <v>15</v>
      </c>
      <c r="D245" t="s">
        <v>24</v>
      </c>
      <c r="E245" t="s">
        <v>25</v>
      </c>
      <c r="F245" s="3">
        <v>44791</v>
      </c>
      <c r="G245" t="s">
        <v>21</v>
      </c>
    </row>
    <row r="246" spans="1:7" x14ac:dyDescent="0.2">
      <c r="A246" t="s">
        <v>100</v>
      </c>
      <c r="B246">
        <v>2025</v>
      </c>
      <c r="C246" t="s">
        <v>15</v>
      </c>
      <c r="D246" t="s">
        <v>26</v>
      </c>
      <c r="E246" t="s">
        <v>27</v>
      </c>
      <c r="F246" s="3">
        <v>128957</v>
      </c>
      <c r="G246" t="s">
        <v>21</v>
      </c>
    </row>
    <row r="247" spans="1:7" x14ac:dyDescent="0.2">
      <c r="A247" t="s">
        <v>100</v>
      </c>
      <c r="B247">
        <v>2025</v>
      </c>
      <c r="C247" t="s">
        <v>15</v>
      </c>
      <c r="D247" t="s">
        <v>22</v>
      </c>
      <c r="E247" t="s">
        <v>23</v>
      </c>
      <c r="F247" s="3">
        <v>12436</v>
      </c>
      <c r="G247" t="s">
        <v>96</v>
      </c>
    </row>
    <row r="248" spans="1:7" x14ac:dyDescent="0.2">
      <c r="A248" t="s">
        <v>100</v>
      </c>
      <c r="B248">
        <v>2025</v>
      </c>
      <c r="C248" t="s">
        <v>28</v>
      </c>
      <c r="D248" t="s">
        <v>13</v>
      </c>
      <c r="E248" t="s">
        <v>101</v>
      </c>
      <c r="F248" s="3">
        <v>6084536</v>
      </c>
      <c r="G248" t="s">
        <v>102</v>
      </c>
    </row>
    <row r="249" spans="1:7" x14ac:dyDescent="0.2">
      <c r="A249" t="s">
        <v>100</v>
      </c>
      <c r="B249">
        <v>2025</v>
      </c>
      <c r="C249" t="s">
        <v>28</v>
      </c>
      <c r="D249" t="s">
        <v>29</v>
      </c>
      <c r="E249" t="s">
        <v>103</v>
      </c>
      <c r="F249" s="3">
        <v>4221845</v>
      </c>
      <c r="G249" t="s">
        <v>104</v>
      </c>
    </row>
    <row r="250" spans="1:7" x14ac:dyDescent="0.2">
      <c r="A250" t="s">
        <v>100</v>
      </c>
      <c r="B250">
        <v>2025</v>
      </c>
      <c r="C250" t="s">
        <v>28</v>
      </c>
      <c r="D250" t="s">
        <v>31</v>
      </c>
      <c r="E250" t="s">
        <v>105</v>
      </c>
      <c r="F250" s="3">
        <v>54982</v>
      </c>
      <c r="G250" t="s">
        <v>102</v>
      </c>
    </row>
    <row r="251" spans="1:7" x14ac:dyDescent="0.2">
      <c r="A251" t="s">
        <v>100</v>
      </c>
      <c r="B251">
        <v>2025</v>
      </c>
      <c r="C251" t="s">
        <v>28</v>
      </c>
      <c r="D251" t="s">
        <v>36</v>
      </c>
      <c r="E251" t="s">
        <v>37</v>
      </c>
      <c r="F251" s="3">
        <v>5324770</v>
      </c>
      <c r="G251" t="s">
        <v>106</v>
      </c>
    </row>
    <row r="252" spans="1:7" x14ac:dyDescent="0.2">
      <c r="A252" t="s">
        <v>100</v>
      </c>
      <c r="B252">
        <v>2025</v>
      </c>
      <c r="C252" t="s">
        <v>28</v>
      </c>
      <c r="D252" t="s">
        <v>38</v>
      </c>
      <c r="E252" t="s">
        <v>107</v>
      </c>
      <c r="F252" s="3">
        <v>624611</v>
      </c>
      <c r="G252" t="s">
        <v>108</v>
      </c>
    </row>
    <row r="253" spans="1:7" x14ac:dyDescent="0.2">
      <c r="A253" t="s">
        <v>100</v>
      </c>
      <c r="B253">
        <v>2024</v>
      </c>
      <c r="C253" t="s">
        <v>15</v>
      </c>
      <c r="D253" t="s">
        <v>16</v>
      </c>
      <c r="E253" t="s">
        <v>17</v>
      </c>
      <c r="F253" s="3">
        <v>91884</v>
      </c>
      <c r="G253" t="s">
        <v>21</v>
      </c>
    </row>
    <row r="254" spans="1:7" x14ac:dyDescent="0.2">
      <c r="A254" t="s">
        <v>100</v>
      </c>
      <c r="B254">
        <v>2024</v>
      </c>
      <c r="C254" t="s">
        <v>15</v>
      </c>
      <c r="D254" t="s">
        <v>19</v>
      </c>
      <c r="E254" t="s">
        <v>20</v>
      </c>
      <c r="F254" s="3">
        <v>214772</v>
      </c>
      <c r="G254" t="s">
        <v>96</v>
      </c>
    </row>
    <row r="255" spans="1:7" x14ac:dyDescent="0.2">
      <c r="A255" t="s">
        <v>100</v>
      </c>
      <c r="B255">
        <v>2024</v>
      </c>
      <c r="C255" t="s">
        <v>15</v>
      </c>
      <c r="D255" t="s">
        <v>24</v>
      </c>
      <c r="E255" t="s">
        <v>25</v>
      </c>
      <c r="F255" s="3">
        <v>43266</v>
      </c>
      <c r="G255" t="s">
        <v>21</v>
      </c>
    </row>
    <row r="256" spans="1:7" x14ac:dyDescent="0.2">
      <c r="A256" t="s">
        <v>100</v>
      </c>
      <c r="B256">
        <v>2024</v>
      </c>
      <c r="C256" t="s">
        <v>15</v>
      </c>
      <c r="D256" t="s">
        <v>26</v>
      </c>
      <c r="E256" t="s">
        <v>27</v>
      </c>
      <c r="F256" s="3">
        <v>124508</v>
      </c>
      <c r="G256" t="s">
        <v>21</v>
      </c>
    </row>
    <row r="257" spans="1:7" x14ac:dyDescent="0.2">
      <c r="A257" t="s">
        <v>100</v>
      </c>
      <c r="B257">
        <v>2024</v>
      </c>
      <c r="C257" t="s">
        <v>15</v>
      </c>
      <c r="D257" t="s">
        <v>22</v>
      </c>
      <c r="E257" t="s">
        <v>23</v>
      </c>
      <c r="F257" s="3">
        <v>9914</v>
      </c>
      <c r="G257" t="s">
        <v>96</v>
      </c>
    </row>
    <row r="258" spans="1:7" x14ac:dyDescent="0.2">
      <c r="A258" t="s">
        <v>100</v>
      </c>
      <c r="B258">
        <v>2024</v>
      </c>
      <c r="C258" t="s">
        <v>28</v>
      </c>
      <c r="D258" t="s">
        <v>13</v>
      </c>
      <c r="E258" t="s">
        <v>101</v>
      </c>
      <c r="F258" s="3">
        <v>5987219</v>
      </c>
      <c r="G258" t="s">
        <v>102</v>
      </c>
    </row>
    <row r="259" spans="1:7" x14ac:dyDescent="0.2">
      <c r="A259" t="s">
        <v>100</v>
      </c>
      <c r="B259">
        <v>2024</v>
      </c>
      <c r="C259" t="s">
        <v>28</v>
      </c>
      <c r="D259" t="s">
        <v>29</v>
      </c>
      <c r="E259" t="s">
        <v>103</v>
      </c>
      <c r="F259" s="3">
        <v>4082456</v>
      </c>
      <c r="G259" t="s">
        <v>104</v>
      </c>
    </row>
    <row r="260" spans="1:7" x14ac:dyDescent="0.2">
      <c r="A260" t="s">
        <v>100</v>
      </c>
      <c r="B260">
        <v>2024</v>
      </c>
      <c r="C260" t="s">
        <v>28</v>
      </c>
      <c r="D260" t="s">
        <v>31</v>
      </c>
      <c r="E260" t="s">
        <v>105</v>
      </c>
      <c r="F260" s="3">
        <v>53418</v>
      </c>
      <c r="G260" t="s">
        <v>102</v>
      </c>
    </row>
    <row r="261" spans="1:7" x14ac:dyDescent="0.2">
      <c r="A261" t="s">
        <v>100</v>
      </c>
      <c r="B261">
        <v>2024</v>
      </c>
      <c r="C261" t="s">
        <v>28</v>
      </c>
      <c r="D261" t="s">
        <v>36</v>
      </c>
      <c r="E261" t="s">
        <v>37</v>
      </c>
      <c r="F261" s="3">
        <v>5216093</v>
      </c>
      <c r="G261" t="s">
        <v>106</v>
      </c>
    </row>
    <row r="262" spans="1:7" x14ac:dyDescent="0.2">
      <c r="A262" t="s">
        <v>100</v>
      </c>
      <c r="B262">
        <v>2024</v>
      </c>
      <c r="C262" t="s">
        <v>28</v>
      </c>
      <c r="D262" t="s">
        <v>38</v>
      </c>
      <c r="E262" t="s">
        <v>107</v>
      </c>
      <c r="F262" s="3">
        <v>596802</v>
      </c>
      <c r="G262" t="s">
        <v>108</v>
      </c>
    </row>
    <row r="263" spans="1:7" x14ac:dyDescent="0.2">
      <c r="A263" t="s">
        <v>100</v>
      </c>
      <c r="B263">
        <v>2023</v>
      </c>
      <c r="C263" t="s">
        <v>15</v>
      </c>
      <c r="D263" t="s">
        <v>16</v>
      </c>
      <c r="E263" t="s">
        <v>17</v>
      </c>
      <c r="F263" s="3">
        <v>88021</v>
      </c>
      <c r="G263" t="s">
        <v>21</v>
      </c>
    </row>
    <row r="264" spans="1:7" x14ac:dyDescent="0.2">
      <c r="A264" t="s">
        <v>100</v>
      </c>
      <c r="B264">
        <v>2023</v>
      </c>
      <c r="C264" t="s">
        <v>15</v>
      </c>
      <c r="D264" t="s">
        <v>19</v>
      </c>
      <c r="E264" t="s">
        <v>20</v>
      </c>
      <c r="F264" s="3">
        <v>198654</v>
      </c>
      <c r="G264" t="s">
        <v>96</v>
      </c>
    </row>
    <row r="265" spans="1:7" x14ac:dyDescent="0.2">
      <c r="A265" t="s">
        <v>100</v>
      </c>
      <c r="B265">
        <v>2023</v>
      </c>
      <c r="C265" t="s">
        <v>15</v>
      </c>
      <c r="D265" t="s">
        <v>24</v>
      </c>
      <c r="E265" t="s">
        <v>25</v>
      </c>
      <c r="F265" s="3">
        <v>42118</v>
      </c>
      <c r="G265" t="s">
        <v>21</v>
      </c>
    </row>
    <row r="266" spans="1:7" x14ac:dyDescent="0.2">
      <c r="A266" t="s">
        <v>100</v>
      </c>
      <c r="B266">
        <v>2023</v>
      </c>
      <c r="C266" t="s">
        <v>15</v>
      </c>
      <c r="D266" t="s">
        <v>26</v>
      </c>
      <c r="E266" t="s">
        <v>27</v>
      </c>
      <c r="F266" s="3">
        <v>120442</v>
      </c>
      <c r="G266" t="s">
        <v>21</v>
      </c>
    </row>
    <row r="267" spans="1:7" x14ac:dyDescent="0.2">
      <c r="A267" t="s">
        <v>100</v>
      </c>
      <c r="B267">
        <v>2023</v>
      </c>
      <c r="C267" t="s">
        <v>15</v>
      </c>
      <c r="D267" t="s">
        <v>22</v>
      </c>
      <c r="E267" t="s">
        <v>23</v>
      </c>
      <c r="F267" s="3">
        <v>7842</v>
      </c>
      <c r="G267" t="s">
        <v>96</v>
      </c>
    </row>
    <row r="268" spans="1:7" x14ac:dyDescent="0.2">
      <c r="A268" t="s">
        <v>100</v>
      </c>
      <c r="B268">
        <v>2023</v>
      </c>
      <c r="C268" t="s">
        <v>28</v>
      </c>
      <c r="D268" t="s">
        <v>13</v>
      </c>
      <c r="E268" t="s">
        <v>101</v>
      </c>
      <c r="F268" s="3">
        <v>5742390</v>
      </c>
      <c r="G268" t="s">
        <v>102</v>
      </c>
    </row>
    <row r="269" spans="1:7" x14ac:dyDescent="0.2">
      <c r="A269" t="s">
        <v>100</v>
      </c>
      <c r="B269">
        <v>2023</v>
      </c>
      <c r="C269" t="s">
        <v>28</v>
      </c>
      <c r="D269" t="s">
        <v>29</v>
      </c>
      <c r="E269" t="s">
        <v>103</v>
      </c>
      <c r="F269" s="3">
        <v>3884772</v>
      </c>
      <c r="G269" t="s">
        <v>104</v>
      </c>
    </row>
    <row r="270" spans="1:7" x14ac:dyDescent="0.2">
      <c r="A270" t="s">
        <v>100</v>
      </c>
      <c r="B270">
        <v>2023</v>
      </c>
      <c r="C270" t="s">
        <v>28</v>
      </c>
      <c r="D270" t="s">
        <v>31</v>
      </c>
      <c r="E270" t="s">
        <v>105</v>
      </c>
      <c r="F270" s="3">
        <v>50764</v>
      </c>
      <c r="G270" t="s">
        <v>102</v>
      </c>
    </row>
    <row r="271" spans="1:7" x14ac:dyDescent="0.2">
      <c r="A271" t="s">
        <v>100</v>
      </c>
      <c r="B271">
        <v>2023</v>
      </c>
      <c r="C271" t="s">
        <v>28</v>
      </c>
      <c r="D271" t="s">
        <v>36</v>
      </c>
      <c r="E271" t="s">
        <v>37</v>
      </c>
      <c r="F271" s="3">
        <v>4989551</v>
      </c>
      <c r="G271" t="s">
        <v>106</v>
      </c>
    </row>
    <row r="272" spans="1:7" x14ac:dyDescent="0.2">
      <c r="A272" t="s">
        <v>100</v>
      </c>
      <c r="B272">
        <v>2023</v>
      </c>
      <c r="C272" t="s">
        <v>28</v>
      </c>
      <c r="D272" t="s">
        <v>38</v>
      </c>
      <c r="E272" t="s">
        <v>107</v>
      </c>
      <c r="F272" s="3">
        <v>570384</v>
      </c>
      <c r="G272" t="s">
        <v>108</v>
      </c>
    </row>
    <row r="273" spans="1:7" x14ac:dyDescent="0.2">
      <c r="A273" t="s">
        <v>100</v>
      </c>
      <c r="B273">
        <v>2022</v>
      </c>
      <c r="C273" t="s">
        <v>15</v>
      </c>
      <c r="D273" t="s">
        <v>16</v>
      </c>
      <c r="E273" t="s">
        <v>17</v>
      </c>
      <c r="F273" s="3">
        <v>84215</v>
      </c>
      <c r="G273" t="s">
        <v>21</v>
      </c>
    </row>
    <row r="274" spans="1:7" x14ac:dyDescent="0.2">
      <c r="A274" t="s">
        <v>100</v>
      </c>
      <c r="B274">
        <v>2022</v>
      </c>
      <c r="C274" t="s">
        <v>15</v>
      </c>
      <c r="D274" t="s">
        <v>19</v>
      </c>
      <c r="E274" t="s">
        <v>20</v>
      </c>
      <c r="F274" s="3">
        <v>182307</v>
      </c>
      <c r="G274" t="s">
        <v>96</v>
      </c>
    </row>
    <row r="275" spans="1:7" x14ac:dyDescent="0.2">
      <c r="A275" t="s">
        <v>100</v>
      </c>
      <c r="B275">
        <v>2022</v>
      </c>
      <c r="C275" t="s">
        <v>15</v>
      </c>
      <c r="D275" t="s">
        <v>24</v>
      </c>
      <c r="E275" t="s">
        <v>25</v>
      </c>
      <c r="F275" s="3">
        <v>40985</v>
      </c>
      <c r="G275" t="s">
        <v>21</v>
      </c>
    </row>
    <row r="276" spans="1:7" x14ac:dyDescent="0.2">
      <c r="A276" t="s">
        <v>100</v>
      </c>
      <c r="B276">
        <v>2022</v>
      </c>
      <c r="C276" t="s">
        <v>15</v>
      </c>
      <c r="D276" t="s">
        <v>26</v>
      </c>
      <c r="E276" t="s">
        <v>27</v>
      </c>
      <c r="F276" s="3">
        <v>116770</v>
      </c>
      <c r="G276" t="s">
        <v>21</v>
      </c>
    </row>
    <row r="277" spans="1:7" x14ac:dyDescent="0.2">
      <c r="A277" t="s">
        <v>100</v>
      </c>
      <c r="B277">
        <v>2022</v>
      </c>
      <c r="C277" t="s">
        <v>15</v>
      </c>
      <c r="D277" t="s">
        <v>22</v>
      </c>
      <c r="E277" t="s">
        <v>23</v>
      </c>
      <c r="F277" s="3">
        <v>5214</v>
      </c>
      <c r="G277" t="s">
        <v>96</v>
      </c>
    </row>
    <row r="278" spans="1:7" x14ac:dyDescent="0.2">
      <c r="A278" t="s">
        <v>100</v>
      </c>
      <c r="B278">
        <v>2022</v>
      </c>
      <c r="C278" t="s">
        <v>28</v>
      </c>
      <c r="D278" t="s">
        <v>13</v>
      </c>
      <c r="E278" t="s">
        <v>101</v>
      </c>
      <c r="F278" s="3">
        <v>5431278</v>
      </c>
      <c r="G278" t="s">
        <v>102</v>
      </c>
    </row>
    <row r="279" spans="1:7" x14ac:dyDescent="0.2">
      <c r="A279" t="s">
        <v>100</v>
      </c>
      <c r="B279">
        <v>2022</v>
      </c>
      <c r="C279" t="s">
        <v>28</v>
      </c>
      <c r="D279" t="s">
        <v>29</v>
      </c>
      <c r="E279" t="s">
        <v>103</v>
      </c>
      <c r="F279" s="3">
        <v>3650842</v>
      </c>
      <c r="G279" t="s">
        <v>104</v>
      </c>
    </row>
    <row r="280" spans="1:7" x14ac:dyDescent="0.2">
      <c r="A280" t="s">
        <v>100</v>
      </c>
      <c r="B280">
        <v>2022</v>
      </c>
      <c r="C280" t="s">
        <v>28</v>
      </c>
      <c r="D280" t="s">
        <v>31</v>
      </c>
      <c r="E280" t="s">
        <v>105</v>
      </c>
      <c r="F280" s="3">
        <v>47911</v>
      </c>
      <c r="G280" t="s">
        <v>102</v>
      </c>
    </row>
    <row r="281" spans="1:7" x14ac:dyDescent="0.2">
      <c r="A281" t="s">
        <v>100</v>
      </c>
      <c r="B281">
        <v>2022</v>
      </c>
      <c r="C281" t="s">
        <v>28</v>
      </c>
      <c r="D281" t="s">
        <v>36</v>
      </c>
      <c r="E281" t="s">
        <v>37</v>
      </c>
      <c r="F281" s="3">
        <v>4723615</v>
      </c>
      <c r="G281" t="s">
        <v>106</v>
      </c>
    </row>
    <row r="282" spans="1:7" x14ac:dyDescent="0.2">
      <c r="A282" t="s">
        <v>100</v>
      </c>
      <c r="B282">
        <v>2022</v>
      </c>
      <c r="C282" t="s">
        <v>28</v>
      </c>
      <c r="D282" t="s">
        <v>38</v>
      </c>
      <c r="E282" t="s">
        <v>107</v>
      </c>
      <c r="F282" s="3">
        <v>541603</v>
      </c>
      <c r="G282" t="s">
        <v>108</v>
      </c>
    </row>
    <row r="283" spans="1:7" x14ac:dyDescent="0.2">
      <c r="A283" t="s">
        <v>100</v>
      </c>
      <c r="B283">
        <v>2021</v>
      </c>
      <c r="C283" t="s">
        <v>15</v>
      </c>
      <c r="D283" t="s">
        <v>16</v>
      </c>
      <c r="E283" t="s">
        <v>17</v>
      </c>
      <c r="F283" s="3">
        <v>74802</v>
      </c>
      <c r="G283" t="s">
        <v>21</v>
      </c>
    </row>
    <row r="284" spans="1:7" x14ac:dyDescent="0.2">
      <c r="A284" t="s">
        <v>100</v>
      </c>
      <c r="B284">
        <v>2021</v>
      </c>
      <c r="C284" t="s">
        <v>15</v>
      </c>
      <c r="D284" t="s">
        <v>19</v>
      </c>
      <c r="E284" t="s">
        <v>20</v>
      </c>
      <c r="F284" s="3">
        <v>170944</v>
      </c>
      <c r="G284" t="s">
        <v>96</v>
      </c>
    </row>
    <row r="285" spans="1:7" x14ac:dyDescent="0.2">
      <c r="A285" t="s">
        <v>100</v>
      </c>
      <c r="B285">
        <v>2021</v>
      </c>
      <c r="C285" t="s">
        <v>15</v>
      </c>
      <c r="D285" t="s">
        <v>24</v>
      </c>
      <c r="E285" t="s">
        <v>25</v>
      </c>
      <c r="F285" s="3">
        <v>39517</v>
      </c>
      <c r="G285" t="s">
        <v>21</v>
      </c>
    </row>
    <row r="286" spans="1:7" x14ac:dyDescent="0.2">
      <c r="A286" t="s">
        <v>100</v>
      </c>
      <c r="B286">
        <v>2021</v>
      </c>
      <c r="C286" t="s">
        <v>15</v>
      </c>
      <c r="D286" t="s">
        <v>26</v>
      </c>
      <c r="E286" t="s">
        <v>27</v>
      </c>
      <c r="F286" s="3">
        <v>112084</v>
      </c>
      <c r="G286" t="s">
        <v>21</v>
      </c>
    </row>
    <row r="287" spans="1:7" x14ac:dyDescent="0.2">
      <c r="A287" t="s">
        <v>100</v>
      </c>
      <c r="B287">
        <v>2021</v>
      </c>
      <c r="C287" t="s">
        <v>15</v>
      </c>
      <c r="D287" t="s">
        <v>22</v>
      </c>
      <c r="E287" t="s">
        <v>23</v>
      </c>
      <c r="F287" s="3">
        <v>-2186</v>
      </c>
      <c r="G287" t="s">
        <v>96</v>
      </c>
    </row>
    <row r="288" spans="1:7" x14ac:dyDescent="0.2">
      <c r="A288" t="s">
        <v>100</v>
      </c>
      <c r="B288">
        <v>2021</v>
      </c>
      <c r="C288" t="s">
        <v>28</v>
      </c>
      <c r="D288" t="s">
        <v>13</v>
      </c>
      <c r="E288" t="s">
        <v>101</v>
      </c>
      <c r="F288" s="3">
        <v>5201643</v>
      </c>
      <c r="G288" t="s">
        <v>102</v>
      </c>
    </row>
    <row r="289" spans="1:7" x14ac:dyDescent="0.2">
      <c r="A289" t="s">
        <v>100</v>
      </c>
      <c r="B289">
        <v>2021</v>
      </c>
      <c r="C289" t="s">
        <v>28</v>
      </c>
      <c r="D289" t="s">
        <v>29</v>
      </c>
      <c r="E289" t="s">
        <v>103</v>
      </c>
      <c r="F289" s="3">
        <v>3492715</v>
      </c>
      <c r="G289" t="s">
        <v>104</v>
      </c>
    </row>
    <row r="290" spans="1:7" x14ac:dyDescent="0.2">
      <c r="A290" t="s">
        <v>100</v>
      </c>
      <c r="B290">
        <v>2021</v>
      </c>
      <c r="C290" t="s">
        <v>28</v>
      </c>
      <c r="D290" t="s">
        <v>31</v>
      </c>
      <c r="E290" t="s">
        <v>105</v>
      </c>
      <c r="F290" s="3">
        <v>46122</v>
      </c>
      <c r="G290" t="s">
        <v>102</v>
      </c>
    </row>
    <row r="291" spans="1:7" x14ac:dyDescent="0.2">
      <c r="A291" t="s">
        <v>100</v>
      </c>
      <c r="B291">
        <v>2021</v>
      </c>
      <c r="C291" t="s">
        <v>28</v>
      </c>
      <c r="D291" t="s">
        <v>36</v>
      </c>
      <c r="E291" t="s">
        <v>37</v>
      </c>
      <c r="F291" s="3">
        <v>4524118</v>
      </c>
      <c r="G291" t="s">
        <v>106</v>
      </c>
    </row>
    <row r="292" spans="1:7" x14ac:dyDescent="0.2">
      <c r="A292" t="s">
        <v>100</v>
      </c>
      <c r="B292">
        <v>2021</v>
      </c>
      <c r="C292" t="s">
        <v>28</v>
      </c>
      <c r="D292" t="s">
        <v>38</v>
      </c>
      <c r="E292" t="s">
        <v>107</v>
      </c>
      <c r="F292" s="3">
        <v>517486</v>
      </c>
      <c r="G292" t="s">
        <v>108</v>
      </c>
    </row>
    <row r="293" spans="1:7" x14ac:dyDescent="0.2">
      <c r="A293" t="s">
        <v>100</v>
      </c>
      <c r="B293">
        <v>2020</v>
      </c>
      <c r="C293" t="s">
        <v>15</v>
      </c>
      <c r="D293" t="s">
        <v>16</v>
      </c>
      <c r="E293" t="s">
        <v>17</v>
      </c>
      <c r="F293" s="3">
        <v>60471</v>
      </c>
      <c r="G293" t="s">
        <v>21</v>
      </c>
    </row>
    <row r="294" spans="1:7" x14ac:dyDescent="0.2">
      <c r="A294" t="s">
        <v>100</v>
      </c>
      <c r="B294">
        <v>2020</v>
      </c>
      <c r="C294" t="s">
        <v>15</v>
      </c>
      <c r="D294" t="s">
        <v>19</v>
      </c>
      <c r="E294" t="s">
        <v>20</v>
      </c>
      <c r="F294" s="3">
        <v>162308</v>
      </c>
      <c r="G294" t="s">
        <v>96</v>
      </c>
    </row>
    <row r="295" spans="1:7" x14ac:dyDescent="0.2">
      <c r="A295" t="s">
        <v>100</v>
      </c>
      <c r="B295">
        <v>2020</v>
      </c>
      <c r="C295" t="s">
        <v>15</v>
      </c>
      <c r="D295" t="s">
        <v>24</v>
      </c>
      <c r="E295" t="s">
        <v>25</v>
      </c>
      <c r="F295" s="3">
        <v>37904</v>
      </c>
      <c r="G295" t="s">
        <v>21</v>
      </c>
    </row>
    <row r="296" spans="1:7" x14ac:dyDescent="0.2">
      <c r="A296" t="s">
        <v>100</v>
      </c>
      <c r="B296">
        <v>2020</v>
      </c>
      <c r="C296" t="s">
        <v>15</v>
      </c>
      <c r="D296" t="s">
        <v>26</v>
      </c>
      <c r="E296" t="s">
        <v>27</v>
      </c>
      <c r="F296" s="3">
        <v>108556</v>
      </c>
      <c r="G296" t="s">
        <v>21</v>
      </c>
    </row>
    <row r="297" spans="1:7" x14ac:dyDescent="0.2">
      <c r="A297" t="s">
        <v>100</v>
      </c>
      <c r="B297">
        <v>2020</v>
      </c>
      <c r="C297" t="s">
        <v>15</v>
      </c>
      <c r="D297" t="s">
        <v>22</v>
      </c>
      <c r="E297" t="s">
        <v>23</v>
      </c>
      <c r="F297" s="3">
        <v>9872</v>
      </c>
      <c r="G297" t="s">
        <v>96</v>
      </c>
    </row>
    <row r="298" spans="1:7" x14ac:dyDescent="0.2">
      <c r="A298" t="s">
        <v>100</v>
      </c>
      <c r="B298">
        <v>2020</v>
      </c>
      <c r="C298" t="s">
        <v>28</v>
      </c>
      <c r="D298" t="s">
        <v>13</v>
      </c>
      <c r="E298" t="s">
        <v>101</v>
      </c>
      <c r="F298" s="3">
        <v>4986734</v>
      </c>
      <c r="G298" t="s">
        <v>102</v>
      </c>
    </row>
    <row r="299" spans="1:7" x14ac:dyDescent="0.2">
      <c r="A299" t="s">
        <v>100</v>
      </c>
      <c r="B299">
        <v>2020</v>
      </c>
      <c r="C299" t="s">
        <v>28</v>
      </c>
      <c r="D299" t="s">
        <v>29</v>
      </c>
      <c r="E299" t="s">
        <v>103</v>
      </c>
      <c r="F299" s="3">
        <v>3347980</v>
      </c>
      <c r="G299" t="s">
        <v>104</v>
      </c>
    </row>
    <row r="300" spans="1:7" x14ac:dyDescent="0.2">
      <c r="A300" t="s">
        <v>100</v>
      </c>
      <c r="B300">
        <v>2020</v>
      </c>
      <c r="C300" t="s">
        <v>28</v>
      </c>
      <c r="D300" t="s">
        <v>31</v>
      </c>
      <c r="E300" t="s">
        <v>105</v>
      </c>
      <c r="F300" s="3">
        <v>45213</v>
      </c>
      <c r="G300" t="s">
        <v>102</v>
      </c>
    </row>
    <row r="301" spans="1:7" x14ac:dyDescent="0.2">
      <c r="A301" t="s">
        <v>100</v>
      </c>
      <c r="B301">
        <v>2020</v>
      </c>
      <c r="C301" t="s">
        <v>28</v>
      </c>
      <c r="D301" t="s">
        <v>36</v>
      </c>
      <c r="E301" t="s">
        <v>37</v>
      </c>
      <c r="F301" s="3">
        <v>4321569</v>
      </c>
      <c r="G301" t="s">
        <v>106</v>
      </c>
    </row>
    <row r="302" spans="1:7" x14ac:dyDescent="0.2">
      <c r="A302" t="s">
        <v>100</v>
      </c>
      <c r="B302">
        <v>2020</v>
      </c>
      <c r="C302" t="s">
        <v>28</v>
      </c>
      <c r="D302" t="s">
        <v>38</v>
      </c>
      <c r="E302" t="s">
        <v>107</v>
      </c>
      <c r="F302" s="3">
        <v>493772</v>
      </c>
      <c r="G302" t="s">
        <v>108</v>
      </c>
    </row>
    <row r="303" spans="1:7" x14ac:dyDescent="0.2">
      <c r="A303" t="s">
        <v>110</v>
      </c>
      <c r="B303">
        <v>2025</v>
      </c>
      <c r="C303" t="s">
        <v>15</v>
      </c>
      <c r="D303" t="s">
        <v>16</v>
      </c>
      <c r="E303" t="s">
        <v>17</v>
      </c>
      <c r="F303" s="3">
        <v>197571</v>
      </c>
      <c r="G303" t="s">
        <v>21</v>
      </c>
    </row>
    <row r="304" spans="1:7" x14ac:dyDescent="0.2">
      <c r="A304" t="s">
        <v>110</v>
      </c>
      <c r="B304">
        <v>2025</v>
      </c>
      <c r="C304" t="s">
        <v>15</v>
      </c>
      <c r="D304" t="s">
        <v>19</v>
      </c>
      <c r="E304" t="s">
        <v>20</v>
      </c>
      <c r="F304" s="3">
        <v>575302</v>
      </c>
      <c r="G304" t="s">
        <v>96</v>
      </c>
    </row>
    <row r="305" spans="1:7" x14ac:dyDescent="0.2">
      <c r="A305" t="s">
        <v>110</v>
      </c>
      <c r="B305">
        <v>2025</v>
      </c>
      <c r="C305" t="s">
        <v>15</v>
      </c>
      <c r="D305" t="s">
        <v>24</v>
      </c>
      <c r="E305" t="s">
        <v>25</v>
      </c>
      <c r="F305" s="3">
        <v>120908</v>
      </c>
      <c r="G305" t="s">
        <v>21</v>
      </c>
    </row>
    <row r="306" spans="1:7" x14ac:dyDescent="0.2">
      <c r="A306" t="s">
        <v>110</v>
      </c>
      <c r="B306">
        <v>2025</v>
      </c>
      <c r="C306" t="s">
        <v>15</v>
      </c>
      <c r="D306" t="s">
        <v>26</v>
      </c>
      <c r="E306" t="s">
        <v>27</v>
      </c>
      <c r="F306" s="3">
        <v>405586</v>
      </c>
      <c r="G306" t="s">
        <v>21</v>
      </c>
    </row>
    <row r="307" spans="1:7" x14ac:dyDescent="0.2">
      <c r="A307" t="s">
        <v>110</v>
      </c>
      <c r="B307">
        <v>2025</v>
      </c>
      <c r="C307" t="s">
        <v>15</v>
      </c>
      <c r="D307" t="s">
        <v>22</v>
      </c>
      <c r="E307" t="s">
        <v>23</v>
      </c>
      <c r="F307" s="3">
        <v>36150</v>
      </c>
      <c r="G307" t="s">
        <v>96</v>
      </c>
    </row>
    <row r="308" spans="1:7" x14ac:dyDescent="0.2">
      <c r="A308" t="s">
        <v>110</v>
      </c>
      <c r="B308">
        <v>2025</v>
      </c>
      <c r="C308" t="s">
        <v>28</v>
      </c>
      <c r="D308" t="s">
        <v>13</v>
      </c>
      <c r="E308" t="s">
        <v>101</v>
      </c>
      <c r="F308" s="3">
        <v>20640447</v>
      </c>
      <c r="G308" t="s">
        <v>102</v>
      </c>
    </row>
    <row r="309" spans="1:7" x14ac:dyDescent="0.2">
      <c r="A309" t="s">
        <v>110</v>
      </c>
      <c r="B309">
        <v>2025</v>
      </c>
      <c r="C309" t="s">
        <v>28</v>
      </c>
      <c r="D309" t="s">
        <v>29</v>
      </c>
      <c r="E309" t="s">
        <v>103</v>
      </c>
      <c r="F309" s="3">
        <v>16701337</v>
      </c>
      <c r="G309" t="s">
        <v>104</v>
      </c>
    </row>
    <row r="310" spans="1:7" x14ac:dyDescent="0.2">
      <c r="A310" t="s">
        <v>110</v>
      </c>
      <c r="B310">
        <v>2025</v>
      </c>
      <c r="C310" t="s">
        <v>28</v>
      </c>
      <c r="D310" t="s">
        <v>31</v>
      </c>
      <c r="E310" t="s">
        <v>105</v>
      </c>
      <c r="F310" s="3">
        <v>213064</v>
      </c>
      <c r="G310" t="s">
        <v>102</v>
      </c>
    </row>
    <row r="311" spans="1:7" x14ac:dyDescent="0.2">
      <c r="A311" t="s">
        <v>110</v>
      </c>
      <c r="B311">
        <v>2025</v>
      </c>
      <c r="C311" t="s">
        <v>28</v>
      </c>
      <c r="D311" t="s">
        <v>36</v>
      </c>
      <c r="E311" t="s">
        <v>37</v>
      </c>
      <c r="F311" s="3">
        <v>17864287</v>
      </c>
      <c r="G311" t="s">
        <v>106</v>
      </c>
    </row>
    <row r="312" spans="1:7" x14ac:dyDescent="0.2">
      <c r="A312" t="s">
        <v>110</v>
      </c>
      <c r="B312">
        <v>2025</v>
      </c>
      <c r="C312" t="s">
        <v>28</v>
      </c>
      <c r="D312" t="s">
        <v>38</v>
      </c>
      <c r="E312" t="s">
        <v>107</v>
      </c>
      <c r="F312" s="3">
        <v>2089063</v>
      </c>
      <c r="G312" t="s">
        <v>108</v>
      </c>
    </row>
    <row r="313" spans="1:7" x14ac:dyDescent="0.2">
      <c r="A313" t="s">
        <v>110</v>
      </c>
      <c r="B313">
        <v>2024</v>
      </c>
      <c r="C313" t="s">
        <v>15</v>
      </c>
      <c r="D313" t="s">
        <v>16</v>
      </c>
      <c r="E313" t="s">
        <v>17</v>
      </c>
      <c r="F313" s="3">
        <v>178520</v>
      </c>
      <c r="G313" t="s">
        <v>21</v>
      </c>
    </row>
    <row r="314" spans="1:7" x14ac:dyDescent="0.2">
      <c r="A314" t="s">
        <v>110</v>
      </c>
      <c r="B314">
        <v>2024</v>
      </c>
      <c r="C314" t="s">
        <v>15</v>
      </c>
      <c r="D314" t="s">
        <v>19</v>
      </c>
      <c r="E314" t="s">
        <v>20</v>
      </c>
      <c r="F314" s="3">
        <v>553481</v>
      </c>
      <c r="G314" t="s">
        <v>96</v>
      </c>
    </row>
    <row r="315" spans="1:7" x14ac:dyDescent="0.2">
      <c r="A315" t="s">
        <v>110</v>
      </c>
      <c r="B315">
        <v>2024</v>
      </c>
      <c r="C315" t="s">
        <v>15</v>
      </c>
      <c r="D315" t="s">
        <v>24</v>
      </c>
      <c r="E315" t="s">
        <v>25</v>
      </c>
      <c r="F315" s="3">
        <v>118244</v>
      </c>
      <c r="G315" t="s">
        <v>21</v>
      </c>
    </row>
    <row r="316" spans="1:7" x14ac:dyDescent="0.2">
      <c r="A316" t="s">
        <v>110</v>
      </c>
      <c r="B316">
        <v>2024</v>
      </c>
      <c r="C316" t="s">
        <v>15</v>
      </c>
      <c r="D316" t="s">
        <v>26</v>
      </c>
      <c r="E316" t="s">
        <v>27</v>
      </c>
      <c r="F316" s="3">
        <v>394872</v>
      </c>
      <c r="G316" t="s">
        <v>21</v>
      </c>
    </row>
    <row r="317" spans="1:7" x14ac:dyDescent="0.2">
      <c r="A317" t="s">
        <v>110</v>
      </c>
      <c r="B317">
        <v>2024</v>
      </c>
      <c r="C317" t="s">
        <v>15</v>
      </c>
      <c r="D317" t="s">
        <v>22</v>
      </c>
      <c r="E317" t="s">
        <v>23</v>
      </c>
      <c r="F317" s="3">
        <v>29640</v>
      </c>
      <c r="G317" t="s">
        <v>96</v>
      </c>
    </row>
    <row r="318" spans="1:7" x14ac:dyDescent="0.2">
      <c r="A318" t="s">
        <v>110</v>
      </c>
      <c r="B318">
        <v>2024</v>
      </c>
      <c r="C318" t="s">
        <v>28</v>
      </c>
      <c r="D318" t="s">
        <v>13</v>
      </c>
      <c r="E318" t="s">
        <v>101</v>
      </c>
      <c r="F318" s="3">
        <v>19988312</v>
      </c>
      <c r="G318" t="s">
        <v>102</v>
      </c>
    </row>
    <row r="319" spans="1:7" x14ac:dyDescent="0.2">
      <c r="A319" t="s">
        <v>110</v>
      </c>
      <c r="B319">
        <v>2024</v>
      </c>
      <c r="C319" t="s">
        <v>28</v>
      </c>
      <c r="D319" t="s">
        <v>29</v>
      </c>
      <c r="E319" t="s">
        <v>103</v>
      </c>
      <c r="F319" s="3">
        <v>16184905</v>
      </c>
      <c r="G319" t="s">
        <v>104</v>
      </c>
    </row>
    <row r="320" spans="1:7" x14ac:dyDescent="0.2">
      <c r="A320" t="s">
        <v>110</v>
      </c>
      <c r="B320">
        <v>2024</v>
      </c>
      <c r="C320" t="s">
        <v>28</v>
      </c>
      <c r="D320" t="s">
        <v>31</v>
      </c>
      <c r="E320" t="s">
        <v>105</v>
      </c>
      <c r="F320" s="3">
        <v>198742</v>
      </c>
      <c r="G320" t="s">
        <v>102</v>
      </c>
    </row>
    <row r="321" spans="1:7" x14ac:dyDescent="0.2">
      <c r="A321" t="s">
        <v>110</v>
      </c>
      <c r="B321">
        <v>2024</v>
      </c>
      <c r="C321" t="s">
        <v>28</v>
      </c>
      <c r="D321" t="s">
        <v>36</v>
      </c>
      <c r="E321" t="s">
        <v>37</v>
      </c>
      <c r="F321" s="3">
        <v>17302881</v>
      </c>
      <c r="G321" t="s">
        <v>106</v>
      </c>
    </row>
    <row r="322" spans="1:7" x14ac:dyDescent="0.2">
      <c r="A322" t="s">
        <v>110</v>
      </c>
      <c r="B322">
        <v>2024</v>
      </c>
      <c r="C322" t="s">
        <v>28</v>
      </c>
      <c r="D322" t="s">
        <v>38</v>
      </c>
      <c r="E322" t="s">
        <v>107</v>
      </c>
      <c r="F322" s="3">
        <v>2001488</v>
      </c>
      <c r="G322" t="s">
        <v>108</v>
      </c>
    </row>
    <row r="323" spans="1:7" x14ac:dyDescent="0.2">
      <c r="A323" t="s">
        <v>110</v>
      </c>
      <c r="B323">
        <v>2023</v>
      </c>
      <c r="C323" t="s">
        <v>15</v>
      </c>
      <c r="D323" t="s">
        <v>16</v>
      </c>
      <c r="E323" t="s">
        <v>17</v>
      </c>
      <c r="F323" s="3">
        <v>246572</v>
      </c>
      <c r="G323" t="s">
        <v>21</v>
      </c>
    </row>
    <row r="324" spans="1:7" x14ac:dyDescent="0.2">
      <c r="A324" t="s">
        <v>110</v>
      </c>
      <c r="B324">
        <v>2023</v>
      </c>
      <c r="C324" t="s">
        <v>15</v>
      </c>
      <c r="D324" t="s">
        <v>19</v>
      </c>
      <c r="E324" t="s">
        <v>20</v>
      </c>
      <c r="F324" s="3">
        <v>621040</v>
      </c>
      <c r="G324" t="s">
        <v>21</v>
      </c>
    </row>
    <row r="325" spans="1:7" x14ac:dyDescent="0.2">
      <c r="A325" t="s">
        <v>110</v>
      </c>
      <c r="B325">
        <v>2023</v>
      </c>
      <c r="C325" t="s">
        <v>15</v>
      </c>
      <c r="D325" t="s">
        <v>24</v>
      </c>
      <c r="E325" t="s">
        <v>25</v>
      </c>
      <c r="F325" s="3">
        <v>118373</v>
      </c>
      <c r="G325" t="s">
        <v>21</v>
      </c>
    </row>
    <row r="326" spans="1:7" x14ac:dyDescent="0.2">
      <c r="A326" t="s">
        <v>110</v>
      </c>
      <c r="B326">
        <v>2023</v>
      </c>
      <c r="C326" t="s">
        <v>15</v>
      </c>
      <c r="D326" t="s">
        <v>26</v>
      </c>
      <c r="E326" t="s">
        <v>27</v>
      </c>
      <c r="F326" s="3">
        <v>392154</v>
      </c>
      <c r="G326" t="s">
        <v>21</v>
      </c>
    </row>
    <row r="327" spans="1:7" x14ac:dyDescent="0.2">
      <c r="A327" t="s">
        <v>110</v>
      </c>
      <c r="B327">
        <v>2023</v>
      </c>
      <c r="C327" t="s">
        <v>15</v>
      </c>
      <c r="D327" t="s">
        <v>22</v>
      </c>
      <c r="E327" t="s">
        <v>111</v>
      </c>
      <c r="F327" s="3">
        <v>23450</v>
      </c>
      <c r="G327" t="s">
        <v>21</v>
      </c>
    </row>
    <row r="328" spans="1:7" x14ac:dyDescent="0.2">
      <c r="A328" t="s">
        <v>110</v>
      </c>
      <c r="B328">
        <v>2023</v>
      </c>
      <c r="C328" t="s">
        <v>28</v>
      </c>
      <c r="D328" t="s">
        <v>13</v>
      </c>
      <c r="E328" t="s">
        <v>101</v>
      </c>
      <c r="F328" s="3">
        <v>19352632</v>
      </c>
      <c r="G328" t="s">
        <v>41</v>
      </c>
    </row>
    <row r="329" spans="1:7" x14ac:dyDescent="0.2">
      <c r="A329" t="s">
        <v>110</v>
      </c>
      <c r="B329">
        <v>2023</v>
      </c>
      <c r="C329" t="s">
        <v>28</v>
      </c>
      <c r="D329" t="s">
        <v>29</v>
      </c>
      <c r="E329" t="s">
        <v>103</v>
      </c>
      <c r="F329" s="3">
        <v>14284438</v>
      </c>
      <c r="G329" t="s">
        <v>45</v>
      </c>
    </row>
    <row r="330" spans="1:7" x14ac:dyDescent="0.2">
      <c r="A330" t="s">
        <v>110</v>
      </c>
      <c r="B330">
        <v>2023</v>
      </c>
      <c r="C330" t="s">
        <v>28</v>
      </c>
      <c r="D330" t="s">
        <v>31</v>
      </c>
      <c r="E330" t="s">
        <v>105</v>
      </c>
      <c r="F330" s="3">
        <v>142222</v>
      </c>
      <c r="G330" t="s">
        <v>41</v>
      </c>
    </row>
    <row r="331" spans="1:7" x14ac:dyDescent="0.2">
      <c r="A331" t="s">
        <v>110</v>
      </c>
      <c r="B331">
        <v>2023</v>
      </c>
      <c r="C331" t="s">
        <v>28</v>
      </c>
      <c r="D331" t="s">
        <v>36</v>
      </c>
      <c r="E331" t="s">
        <v>37</v>
      </c>
      <c r="F331" s="3">
        <v>14979650</v>
      </c>
      <c r="G331" t="s">
        <v>41</v>
      </c>
    </row>
    <row r="332" spans="1:7" x14ac:dyDescent="0.2">
      <c r="A332" t="s">
        <v>110</v>
      </c>
      <c r="B332">
        <v>2023</v>
      </c>
      <c r="C332" t="s">
        <v>28</v>
      </c>
      <c r="D332" t="s">
        <v>38</v>
      </c>
      <c r="E332" t="s">
        <v>107</v>
      </c>
      <c r="F332" s="3">
        <v>2920804</v>
      </c>
      <c r="G332" t="s">
        <v>42</v>
      </c>
    </row>
    <row r="333" spans="1:7" x14ac:dyDescent="0.2">
      <c r="A333" t="s">
        <v>110</v>
      </c>
      <c r="B333">
        <v>2022</v>
      </c>
      <c r="C333" t="s">
        <v>15</v>
      </c>
      <c r="D333" t="s">
        <v>16</v>
      </c>
      <c r="E333" t="s">
        <v>17</v>
      </c>
      <c r="F333" s="3">
        <v>268324</v>
      </c>
      <c r="G333" t="s">
        <v>40</v>
      </c>
    </row>
    <row r="334" spans="1:7" x14ac:dyDescent="0.2">
      <c r="A334" t="s">
        <v>110</v>
      </c>
      <c r="B334">
        <v>2022</v>
      </c>
      <c r="C334" t="s">
        <v>15</v>
      </c>
      <c r="D334" t="s">
        <v>19</v>
      </c>
      <c r="E334" t="s">
        <v>20</v>
      </c>
      <c r="F334" s="3">
        <v>553959</v>
      </c>
      <c r="G334" t="s">
        <v>21</v>
      </c>
    </row>
    <row r="335" spans="1:7" x14ac:dyDescent="0.2">
      <c r="A335" t="s">
        <v>110</v>
      </c>
      <c r="B335">
        <v>2022</v>
      </c>
      <c r="C335" t="s">
        <v>15</v>
      </c>
      <c r="D335" t="s">
        <v>24</v>
      </c>
      <c r="E335" t="s">
        <v>25</v>
      </c>
      <c r="F335" s="3">
        <v>102074</v>
      </c>
      <c r="G335" t="s">
        <v>18</v>
      </c>
    </row>
    <row r="336" spans="1:7" x14ac:dyDescent="0.2">
      <c r="A336" t="s">
        <v>110</v>
      </c>
      <c r="B336">
        <v>2022</v>
      </c>
      <c r="C336" t="s">
        <v>15</v>
      </c>
      <c r="D336" t="s">
        <v>26</v>
      </c>
      <c r="E336" t="s">
        <v>27</v>
      </c>
      <c r="F336" s="3">
        <v>404241</v>
      </c>
      <c r="G336" t="s">
        <v>18</v>
      </c>
    </row>
    <row r="337" spans="1:7" x14ac:dyDescent="0.2">
      <c r="A337" t="s">
        <v>110</v>
      </c>
      <c r="B337">
        <v>2022</v>
      </c>
      <c r="C337" t="s">
        <v>15</v>
      </c>
      <c r="D337" t="s">
        <v>22</v>
      </c>
      <c r="E337" t="s">
        <v>112</v>
      </c>
      <c r="F337" s="3">
        <v>23530</v>
      </c>
      <c r="G337" t="s">
        <v>21</v>
      </c>
    </row>
    <row r="338" spans="1:7" x14ac:dyDescent="0.2">
      <c r="A338" t="s">
        <v>110</v>
      </c>
      <c r="B338">
        <v>2022</v>
      </c>
      <c r="C338" t="s">
        <v>28</v>
      </c>
      <c r="D338" t="s">
        <v>13</v>
      </c>
      <c r="E338" t="s">
        <v>101</v>
      </c>
      <c r="F338" s="3">
        <v>18535579</v>
      </c>
      <c r="G338" t="s">
        <v>41</v>
      </c>
    </row>
    <row r="339" spans="1:7" x14ac:dyDescent="0.2">
      <c r="A339" t="s">
        <v>110</v>
      </c>
      <c r="B339">
        <v>2022</v>
      </c>
      <c r="C339" t="s">
        <v>28</v>
      </c>
      <c r="D339" t="s">
        <v>29</v>
      </c>
      <c r="E339" t="s">
        <v>103</v>
      </c>
      <c r="F339" s="3">
        <v>13747919</v>
      </c>
      <c r="G339" t="s">
        <v>45</v>
      </c>
    </row>
    <row r="340" spans="1:7" x14ac:dyDescent="0.2">
      <c r="A340" t="s">
        <v>110</v>
      </c>
      <c r="B340">
        <v>2022</v>
      </c>
      <c r="C340" t="s">
        <v>28</v>
      </c>
      <c r="D340" t="s">
        <v>31</v>
      </c>
      <c r="E340" t="s">
        <v>105</v>
      </c>
      <c r="F340" s="3">
        <v>146275</v>
      </c>
      <c r="G340" t="s">
        <v>41</v>
      </c>
    </row>
    <row r="341" spans="1:7" x14ac:dyDescent="0.2">
      <c r="A341" t="s">
        <v>110</v>
      </c>
      <c r="B341">
        <v>2022</v>
      </c>
      <c r="C341" t="s">
        <v>28</v>
      </c>
      <c r="D341" t="s">
        <v>36</v>
      </c>
      <c r="E341" t="s">
        <v>37</v>
      </c>
      <c r="F341" s="3">
        <v>15356636</v>
      </c>
      <c r="G341" t="s">
        <v>41</v>
      </c>
    </row>
    <row r="342" spans="1:7" x14ac:dyDescent="0.2">
      <c r="A342" t="s">
        <v>110</v>
      </c>
      <c r="B342">
        <v>2022</v>
      </c>
      <c r="C342" t="s">
        <v>28</v>
      </c>
      <c r="D342" t="s">
        <v>38</v>
      </c>
      <c r="E342" t="s">
        <v>107</v>
      </c>
      <c r="F342" s="3">
        <v>2848513</v>
      </c>
      <c r="G342" t="s">
        <v>40</v>
      </c>
    </row>
    <row r="343" spans="1:7" x14ac:dyDescent="0.2">
      <c r="A343" t="s">
        <v>110</v>
      </c>
      <c r="B343">
        <v>2021</v>
      </c>
      <c r="C343" t="s">
        <v>15</v>
      </c>
      <c r="D343" t="s">
        <v>16</v>
      </c>
      <c r="E343" t="s">
        <v>17</v>
      </c>
      <c r="F343" s="3">
        <v>189884</v>
      </c>
      <c r="G343" t="s">
        <v>40</v>
      </c>
    </row>
    <row r="344" spans="1:7" x14ac:dyDescent="0.2">
      <c r="A344" t="s">
        <v>110</v>
      </c>
      <c r="B344">
        <v>2021</v>
      </c>
      <c r="C344" t="s">
        <v>15</v>
      </c>
      <c r="D344" t="s">
        <v>19</v>
      </c>
      <c r="E344" t="s">
        <v>20</v>
      </c>
      <c r="F344" s="3">
        <v>500528</v>
      </c>
      <c r="G344" t="s">
        <v>21</v>
      </c>
    </row>
    <row r="345" spans="1:7" x14ac:dyDescent="0.2">
      <c r="A345" t="s">
        <v>110</v>
      </c>
      <c r="B345">
        <v>2021</v>
      </c>
      <c r="C345" t="s">
        <v>15</v>
      </c>
      <c r="D345" t="s">
        <v>24</v>
      </c>
      <c r="E345" t="s">
        <v>25</v>
      </c>
      <c r="F345" s="3">
        <v>115946</v>
      </c>
      <c r="G345" t="s">
        <v>18</v>
      </c>
    </row>
    <row r="346" spans="1:7" x14ac:dyDescent="0.2">
      <c r="A346" t="s">
        <v>110</v>
      </c>
      <c r="B346">
        <v>2021</v>
      </c>
      <c r="C346" t="s">
        <v>15</v>
      </c>
      <c r="D346" t="s">
        <v>26</v>
      </c>
      <c r="E346" t="s">
        <v>27</v>
      </c>
      <c r="F346" s="3">
        <v>395734</v>
      </c>
      <c r="G346" t="s">
        <v>18</v>
      </c>
    </row>
    <row r="347" spans="1:7" x14ac:dyDescent="0.2">
      <c r="A347" t="s">
        <v>110</v>
      </c>
      <c r="B347">
        <v>2021</v>
      </c>
      <c r="C347" t="s">
        <v>15</v>
      </c>
      <c r="D347" t="s">
        <v>22</v>
      </c>
      <c r="E347" t="s">
        <v>112</v>
      </c>
      <c r="F347" s="3">
        <v>-35955</v>
      </c>
      <c r="G347" t="s">
        <v>21</v>
      </c>
    </row>
    <row r="348" spans="1:7" x14ac:dyDescent="0.2">
      <c r="A348" t="s">
        <v>110</v>
      </c>
      <c r="B348">
        <v>2021</v>
      </c>
      <c r="C348" t="s">
        <v>28</v>
      </c>
      <c r="D348" t="s">
        <v>13</v>
      </c>
      <c r="E348" t="s">
        <v>101</v>
      </c>
      <c r="F348" s="3">
        <v>18039393</v>
      </c>
      <c r="G348" t="s">
        <v>41</v>
      </c>
    </row>
    <row r="349" spans="1:7" x14ac:dyDescent="0.2">
      <c r="A349" t="s">
        <v>110</v>
      </c>
      <c r="B349">
        <v>2021</v>
      </c>
      <c r="C349" t="s">
        <v>28</v>
      </c>
      <c r="D349" t="s">
        <v>29</v>
      </c>
      <c r="E349" t="s">
        <v>103</v>
      </c>
      <c r="F349" s="3">
        <v>12602765</v>
      </c>
      <c r="G349" t="s">
        <v>45</v>
      </c>
    </row>
    <row r="350" spans="1:7" x14ac:dyDescent="0.2">
      <c r="A350" t="s">
        <v>110</v>
      </c>
      <c r="B350">
        <v>2021</v>
      </c>
      <c r="C350" t="s">
        <v>28</v>
      </c>
      <c r="D350" t="s">
        <v>31</v>
      </c>
      <c r="E350" t="s">
        <v>105</v>
      </c>
      <c r="F350" s="3">
        <v>168196</v>
      </c>
      <c r="G350" t="s">
        <v>41</v>
      </c>
    </row>
    <row r="351" spans="1:7" x14ac:dyDescent="0.2">
      <c r="A351" t="s">
        <v>110</v>
      </c>
      <c r="B351">
        <v>2021</v>
      </c>
      <c r="C351" t="s">
        <v>28</v>
      </c>
      <c r="D351" t="s">
        <v>36</v>
      </c>
      <c r="E351" t="s">
        <v>37</v>
      </c>
      <c r="F351" s="3">
        <v>15212141</v>
      </c>
      <c r="G351" t="s">
        <v>41</v>
      </c>
    </row>
    <row r="352" spans="1:7" x14ac:dyDescent="0.2">
      <c r="A352" t="s">
        <v>110</v>
      </c>
      <c r="B352">
        <v>2021</v>
      </c>
      <c r="C352" t="s">
        <v>28</v>
      </c>
      <c r="D352" t="s">
        <v>38</v>
      </c>
      <c r="E352" t="s">
        <v>107</v>
      </c>
      <c r="F352" s="3">
        <v>2685880</v>
      </c>
      <c r="G352" t="s">
        <v>40</v>
      </c>
    </row>
    <row r="353" spans="1:7" x14ac:dyDescent="0.2">
      <c r="A353" t="s">
        <v>110</v>
      </c>
      <c r="B353">
        <v>2020</v>
      </c>
      <c r="C353" t="s">
        <v>15</v>
      </c>
      <c r="D353" t="s">
        <v>16</v>
      </c>
      <c r="E353" t="s">
        <v>17</v>
      </c>
      <c r="F353" s="3">
        <v>129857</v>
      </c>
      <c r="G353" t="s">
        <v>40</v>
      </c>
    </row>
    <row r="354" spans="1:7" x14ac:dyDescent="0.2">
      <c r="A354" t="s">
        <v>110</v>
      </c>
      <c r="B354">
        <v>2020</v>
      </c>
      <c r="C354" t="s">
        <v>15</v>
      </c>
      <c r="D354" t="s">
        <v>19</v>
      </c>
      <c r="E354" t="s">
        <v>20</v>
      </c>
      <c r="F354" s="3">
        <v>477880</v>
      </c>
      <c r="G354" t="s">
        <v>21</v>
      </c>
    </row>
    <row r="355" spans="1:7" x14ac:dyDescent="0.2">
      <c r="A355" t="s">
        <v>110</v>
      </c>
      <c r="B355">
        <v>2020</v>
      </c>
      <c r="C355" t="s">
        <v>15</v>
      </c>
      <c r="D355" t="s">
        <v>24</v>
      </c>
      <c r="E355" t="s">
        <v>25</v>
      </c>
      <c r="F355" s="3">
        <v>112642</v>
      </c>
      <c r="G355" t="s">
        <v>18</v>
      </c>
    </row>
    <row r="356" spans="1:7" x14ac:dyDescent="0.2">
      <c r="A356" t="s">
        <v>110</v>
      </c>
      <c r="B356">
        <v>2020</v>
      </c>
      <c r="C356" t="s">
        <v>15</v>
      </c>
      <c r="D356" t="s">
        <v>26</v>
      </c>
      <c r="E356" t="s">
        <v>27</v>
      </c>
      <c r="F356" s="3">
        <v>378436</v>
      </c>
      <c r="G356" t="s">
        <v>18</v>
      </c>
    </row>
    <row r="357" spans="1:7" x14ac:dyDescent="0.2">
      <c r="A357" t="s">
        <v>110</v>
      </c>
      <c r="B357">
        <v>2020</v>
      </c>
      <c r="C357" t="s">
        <v>15</v>
      </c>
      <c r="D357" t="s">
        <v>22</v>
      </c>
      <c r="E357" t="s">
        <v>112</v>
      </c>
      <c r="F357" s="3">
        <v>106078</v>
      </c>
      <c r="G357" t="s">
        <v>21</v>
      </c>
    </row>
    <row r="358" spans="1:7" x14ac:dyDescent="0.2">
      <c r="A358" t="s">
        <v>110</v>
      </c>
      <c r="B358">
        <v>2020</v>
      </c>
      <c r="C358" t="s">
        <v>28</v>
      </c>
      <c r="D358" t="s">
        <v>13</v>
      </c>
      <c r="E358" t="s">
        <v>101</v>
      </c>
      <c r="F358" s="3">
        <v>17003476</v>
      </c>
      <c r="G358" t="s">
        <v>41</v>
      </c>
    </row>
    <row r="359" spans="1:7" x14ac:dyDescent="0.2">
      <c r="A359" t="s">
        <v>110</v>
      </c>
      <c r="B359">
        <v>2020</v>
      </c>
      <c r="C359" t="s">
        <v>28</v>
      </c>
      <c r="D359" t="s">
        <v>29</v>
      </c>
      <c r="E359" t="s">
        <v>103</v>
      </c>
      <c r="F359" s="3">
        <v>12368770</v>
      </c>
      <c r="G359" t="s">
        <v>45</v>
      </c>
    </row>
    <row r="360" spans="1:7" x14ac:dyDescent="0.2">
      <c r="A360" t="s">
        <v>110</v>
      </c>
      <c r="B360">
        <v>2020</v>
      </c>
      <c r="C360" t="s">
        <v>28</v>
      </c>
      <c r="D360" t="s">
        <v>31</v>
      </c>
      <c r="E360" t="s">
        <v>105</v>
      </c>
      <c r="F360" s="3">
        <v>191769</v>
      </c>
      <c r="G360" t="s">
        <v>41</v>
      </c>
    </row>
    <row r="361" spans="1:7" x14ac:dyDescent="0.2">
      <c r="A361" t="s">
        <v>110</v>
      </c>
      <c r="B361">
        <v>2020</v>
      </c>
      <c r="C361" t="s">
        <v>28</v>
      </c>
      <c r="D361" t="s">
        <v>36</v>
      </c>
      <c r="E361" t="s">
        <v>37</v>
      </c>
      <c r="F361" s="3">
        <v>14231087</v>
      </c>
      <c r="G361" t="s">
        <v>41</v>
      </c>
    </row>
    <row r="362" spans="1:7" x14ac:dyDescent="0.2">
      <c r="A362" t="s">
        <v>110</v>
      </c>
      <c r="B362">
        <v>2020</v>
      </c>
      <c r="C362" t="s">
        <v>28</v>
      </c>
      <c r="D362" t="s">
        <v>38</v>
      </c>
      <c r="E362" t="s">
        <v>107</v>
      </c>
      <c r="F362" s="3">
        <v>2470655</v>
      </c>
      <c r="G362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19A7E-72FB-A24E-BE16-D935727D86E7}">
  <dimension ref="A1:S40"/>
  <sheetViews>
    <sheetView workbookViewId="0">
      <selection activeCell="K18" sqref="K18"/>
    </sheetView>
  </sheetViews>
  <sheetFormatPr baseColWidth="10" defaultRowHeight="16" x14ac:dyDescent="0.2"/>
  <cols>
    <col min="1" max="1" width="19.6640625" customWidth="1"/>
    <col min="2" max="2" width="5.1640625" bestFit="1" customWidth="1"/>
    <col min="3" max="3" width="15" style="10" bestFit="1" customWidth="1"/>
    <col min="4" max="4" width="17.6640625" style="10" bestFit="1" customWidth="1"/>
    <col min="5" max="5" width="16" style="10" bestFit="1" customWidth="1"/>
    <col min="6" max="7" width="17.6640625" style="10" bestFit="1" customWidth="1"/>
    <col min="8" max="8" width="15" style="10" bestFit="1" customWidth="1"/>
    <col min="9" max="9" width="19" style="10" bestFit="1" customWidth="1"/>
    <col min="10" max="10" width="19.6640625" style="10" bestFit="1" customWidth="1"/>
    <col min="11" max="11" width="10.33203125" style="10" customWidth="1"/>
    <col min="12" max="12" width="7" style="10" bestFit="1" customWidth="1"/>
    <col min="13" max="13" width="15.6640625" style="10" bestFit="1" customWidth="1"/>
    <col min="14" max="14" width="12" style="10" bestFit="1" customWidth="1"/>
    <col min="15" max="15" width="13.6640625" style="10" bestFit="1" customWidth="1"/>
    <col min="16" max="16" width="15.33203125" style="10" bestFit="1" customWidth="1"/>
    <col min="18" max="18" width="18.6640625" bestFit="1" customWidth="1"/>
    <col min="19" max="19" width="97.33203125" bestFit="1" customWidth="1"/>
  </cols>
  <sheetData>
    <row r="1" spans="1:16" x14ac:dyDescent="0.2">
      <c r="A1" s="1" t="s">
        <v>0</v>
      </c>
      <c r="B1" s="1" t="s">
        <v>1</v>
      </c>
      <c r="C1" s="9" t="s">
        <v>12</v>
      </c>
      <c r="D1" s="9" t="s">
        <v>13</v>
      </c>
      <c r="E1" s="9" t="s">
        <v>47</v>
      </c>
      <c r="F1" s="9" t="s">
        <v>48</v>
      </c>
      <c r="G1" s="9" t="s">
        <v>49</v>
      </c>
      <c r="H1" s="9" t="s">
        <v>50</v>
      </c>
      <c r="I1" s="9" t="s">
        <v>51</v>
      </c>
      <c r="J1" s="9" t="s">
        <v>52</v>
      </c>
      <c r="K1" s="9" t="s">
        <v>7</v>
      </c>
      <c r="L1" s="9" t="s">
        <v>8</v>
      </c>
      <c r="M1" s="9" t="s">
        <v>11</v>
      </c>
      <c r="N1" s="9" t="s">
        <v>53</v>
      </c>
      <c r="O1" s="9" t="s">
        <v>10</v>
      </c>
      <c r="P1" s="9" t="s">
        <v>9</v>
      </c>
    </row>
    <row r="2" spans="1:16" x14ac:dyDescent="0.2">
      <c r="A2" t="s">
        <v>14</v>
      </c>
      <c r="B2">
        <v>2025</v>
      </c>
      <c r="C2" s="10">
        <f>SUMIFS(RawData!F:F, RawData!A:A,A2, RawData!B:B,B2, RawData!E:E,"RIAD4340")</f>
        <v>49644000</v>
      </c>
      <c r="D2" s="10" cm="1">
        <f t="array" ref="D2">_xlfn.XLOOKUP(1,(RawData!$A:$A=A2)*(RawData!$B:$B=B2)*(RawData!$D:$D="Total Assets"),RawData!$F:$F)</f>
        <v>3973004000</v>
      </c>
      <c r="E2" s="10" cm="1">
        <f t="array" ref="E2">_xlfn.XLOOKUP(1,(RawData!$A:$A=A2)*(RawData!$B:$B=B2)*(RawData!$D:$D="Total Equity Capital"),RawData!$F:$F)</f>
        <v>344733000</v>
      </c>
      <c r="F2" s="10" cm="1">
        <f t="array" ref="F2">_xlfn.XLOOKUP(1,(RawData!$A:$A=A2)*(RawData!$B:$B=B2)*(RawData!$D:$D="Total Loans (Gross)"),RawData!$F:$F)</f>
        <v>1497490000</v>
      </c>
      <c r="G2" s="10">
        <f>SUMIFS(RawData!F:F, RawData!A:A,A2, RawData!B:B,B2, RawData!E:E,"RCON2200")</f>
        <v>2440164000</v>
      </c>
      <c r="H2" s="10">
        <f>SUMIFS(RawData!F:F, RawData!A:A,A2, RawData!B:B,B2, RawData!E:E,"RIAD4074")</f>
        <v>97846000</v>
      </c>
      <c r="I2" s="10">
        <f>SUMIFS(RawData!F:F, RawData!A:A,A2, RawData!B:B,B2, RawData!E:E,"RIAD4079")</f>
        <v>66240000</v>
      </c>
      <c r="J2" s="10">
        <f>SUMIFS(RawData!F:F, RawData!A:A,A2, RawData!B:B,B2, RawData!E:E,"RIAD4093")</f>
        <v>86128000</v>
      </c>
      <c r="K2" s="11">
        <f>C2/D2</f>
        <v>1.2495330988843706E-2</v>
      </c>
      <c r="L2" s="11">
        <f>C2/E2</f>
        <v>0.14400710114784485</v>
      </c>
      <c r="M2" s="11">
        <f>D2/E2</f>
        <v>11.524872872628961</v>
      </c>
      <c r="N2" s="11">
        <f>F2/D2</f>
        <v>0.37691630816379745</v>
      </c>
      <c r="O2" s="11">
        <f>F2/G2</f>
        <v>0.61368416221204802</v>
      </c>
      <c r="P2" s="11">
        <f>J2/(H2+I2)</f>
        <v>0.52489548163767785</v>
      </c>
    </row>
    <row r="3" spans="1:16" x14ac:dyDescent="0.2">
      <c r="A3" t="s">
        <v>14</v>
      </c>
      <c r="B3">
        <v>2024</v>
      </c>
      <c r="C3" s="10">
        <f>SUMIFS(RawData!F:F, RawData!A:A,A3, RawData!B:B,B3, RawData!E:E,"RIAD4340")</f>
        <v>52502000</v>
      </c>
      <c r="D3" s="10" cm="1">
        <f t="array" ref="D3">_xlfn.XLOOKUP(1,(RawData!$A:$A=A3)*(RawData!$B:$B=B3)*(RawData!$D:$D="Total Assets"),RawData!$F:$F)</f>
        <v>3875396000</v>
      </c>
      <c r="E3" s="10" cm="1">
        <f t="array" ref="E3">_xlfn.XLOOKUP(1,(RawData!$A:$A=A3)*(RawData!$B:$B=B3)*(RawData!$D:$D="Total Equity Capital"),RawData!$F:$F)</f>
        <v>328451000</v>
      </c>
      <c r="F3" s="10" cm="1">
        <f t="array" ref="F3">_xlfn.XLOOKUP(1,(RawData!$A:$A=A3)*(RawData!$B:$B=B3)*(RawData!$D:$D="Total Loans (Gross)"),RawData!$F:$F)</f>
        <v>1410623000</v>
      </c>
      <c r="G3" s="10">
        <f>SUMIFS(RawData!F:F, RawData!A:A,A3, RawData!B:B,B3, RawData!E:E,"RCON2200")</f>
        <v>2379642000</v>
      </c>
      <c r="H3" s="10">
        <f>SUMIFS(RawData!F:F, RawData!A:A,A3, RawData!B:B,B3, RawData!E:E,"RIAD4074")</f>
        <v>94192000</v>
      </c>
      <c r="I3" s="10">
        <f>SUMIFS(RawData!F:F, RawData!A:A,A3, RawData!B:B,B3, RawData!E:E,"RIAD4079")</f>
        <v>63459000</v>
      </c>
      <c r="J3" s="10">
        <f>SUMIFS(RawData!F:F, RawData!A:A,A3, RawData!B:B,B3, RawData!E:E,"RIAD4093")</f>
        <v>82964000</v>
      </c>
      <c r="K3" s="11">
        <f t="shared" ref="K3:K37" si="0">C3/D3</f>
        <v>1.3547518756792854E-2</v>
      </c>
      <c r="L3" s="11">
        <f t="shared" ref="L3:L37" si="1">C3/E3</f>
        <v>0.15984728315639166</v>
      </c>
      <c r="M3" s="11">
        <f t="shared" ref="M3:M37" si="2">D3/E3</f>
        <v>11.799008071219147</v>
      </c>
      <c r="N3" s="11">
        <f t="shared" ref="N3:N37" si="3">F3/D3</f>
        <v>0.36399454404143472</v>
      </c>
      <c r="O3" s="11">
        <f t="shared" ref="O3:O37" si="4">F3/G3</f>
        <v>0.59278790675236026</v>
      </c>
      <c r="P3" s="11">
        <f t="shared" ref="P3:P37" si="5">J3/(H3+I3)</f>
        <v>0.5262510228289069</v>
      </c>
    </row>
    <row r="4" spans="1:16" x14ac:dyDescent="0.2">
      <c r="A4" t="s">
        <v>14</v>
      </c>
      <c r="B4">
        <v>2023</v>
      </c>
      <c r="C4" s="10">
        <f>SUMIFS(RawData!F:F, RawData!A:A,A4, RawData!B:B,B4, RawData!E:E,"RIAD4340")</f>
        <v>49552000</v>
      </c>
      <c r="D4" s="10" cm="1">
        <f t="array" ref="D4">_xlfn.XLOOKUP(1,(RawData!$A:$A=A4)*(RawData!$B:$B=B4)*(RawData!$D:$D="Total Assets"),RawData!$F:$F)</f>
        <v>3736765000</v>
      </c>
      <c r="E4" s="10" cm="1">
        <f t="array" ref="E4">_xlfn.XLOOKUP(1,(RawData!$A:$A=A4)*(RawData!$B:$B=B4)*(RawData!$D:$D="Total Equity Capital"),RawData!$F:$F)</f>
        <v>299218000</v>
      </c>
      <c r="F4" s="10" cm="1">
        <f t="array" ref="F4">_xlfn.XLOOKUP(1,(RawData!$A:$A=A4)*(RawData!$B:$B=B4)*(RawData!$D:$D="Total Loans (Gross)"),RawData!$F:$F)</f>
        <v>1341628000</v>
      </c>
      <c r="G4" s="10">
        <f>SUMIFS(RawData!F:F, RawData!A:A,A4, RawData!B:B,B4, RawData!E:E,"RCON2200")</f>
        <v>2308845000</v>
      </c>
      <c r="H4" s="10">
        <f>SUMIFS(RawData!F:F, RawData!A:A,A4, RawData!B:B,B4, RawData!E:E,"RIAD4074")</f>
        <v>89283000</v>
      </c>
      <c r="I4" s="10">
        <f>SUMIFS(RawData!F:F, RawData!A:A,A4, RawData!B:B,B4, RawData!E:E,"RIAD4079")</f>
        <v>60724000</v>
      </c>
      <c r="J4" s="10">
        <f>SUMIFS(RawData!F:F, RawData!A:A,A4, RawData!B:B,B4, RawData!E:E,"RIAD4093")</f>
        <v>80173000</v>
      </c>
      <c r="K4" s="11">
        <f t="shared" si="0"/>
        <v>1.3260667984205589E-2</v>
      </c>
      <c r="L4" s="11">
        <f t="shared" si="1"/>
        <v>0.16560501039375974</v>
      </c>
      <c r="M4" s="11">
        <f t="shared" si="2"/>
        <v>12.488436524540637</v>
      </c>
      <c r="N4" s="11">
        <f t="shared" si="3"/>
        <v>0.35903461951714921</v>
      </c>
      <c r="O4" s="11">
        <f t="shared" si="4"/>
        <v>0.58108188293280838</v>
      </c>
      <c r="P4" s="11">
        <f t="shared" si="5"/>
        <v>0.53446172511949441</v>
      </c>
    </row>
    <row r="5" spans="1:16" x14ac:dyDescent="0.2">
      <c r="A5" t="s">
        <v>14</v>
      </c>
      <c r="B5">
        <v>2022</v>
      </c>
      <c r="C5" s="10">
        <f>SUMIFS(RawData!F:F, RawData!A:A,A5, RawData!B:B,B5, RawData!E:E,"RIAD4340")</f>
        <v>37676000</v>
      </c>
      <c r="D5" s="10" cm="1">
        <f t="array" ref="D5">_xlfn.XLOOKUP(1,(RawData!$A:$A=A5)*(RawData!$B:$B=B5)*(RawData!$D:$D="Total Assets"),RawData!$F:$F)</f>
        <v>3665743000</v>
      </c>
      <c r="E5" s="10" cm="1">
        <f t="array" ref="E5">_xlfn.XLOOKUP(1,(RawData!$A:$A=A5)*(RawData!$B:$B=B5)*(RawData!$D:$D="Total Equity Capital"),RawData!$F:$F)</f>
        <v>297936000</v>
      </c>
      <c r="F5" s="10" cm="1">
        <f t="array" ref="F5">_xlfn.XLOOKUP(1,(RawData!$A:$A=A5)*(RawData!$B:$B=B5)*(RawData!$D:$D="Total Loans (Gross)"),RawData!$F:$F)</f>
        <v>1210388000</v>
      </c>
      <c r="G5" s="10">
        <f>SUMIFS(RawData!F:F, RawData!A:A,A5, RawData!B:B,B5, RawData!E:E,"RCON2200")</f>
        <v>2334905000</v>
      </c>
      <c r="H5" s="10">
        <f>SUMIFS(RawData!F:F, RawData!A:A,A5, RawData!B:B,B5, RawData!E:E,"RIAD4074")</f>
        <v>67154000</v>
      </c>
      <c r="I5" s="10">
        <f>SUMIFS(RawData!F:F, RawData!A:A,A5, RawData!B:B,B5, RawData!E:E,"RIAD4079")</f>
        <v>58832000</v>
      </c>
      <c r="J5" s="10">
        <f>SUMIFS(RawData!F:F, RawData!A:A,A5, RawData!B:B,B5, RawData!E:E,"RIAD4093")</f>
        <v>77189000</v>
      </c>
      <c r="K5" s="11">
        <f t="shared" si="0"/>
        <v>1.0277861814098807E-2</v>
      </c>
      <c r="L5" s="11">
        <f t="shared" si="1"/>
        <v>0.12645668868481821</v>
      </c>
      <c r="M5" s="11">
        <f t="shared" si="2"/>
        <v>12.303793432146501</v>
      </c>
      <c r="N5" s="11">
        <f t="shared" si="3"/>
        <v>0.33018899579157623</v>
      </c>
      <c r="O5" s="11">
        <f t="shared" si="4"/>
        <v>0.51838854257453726</v>
      </c>
      <c r="P5" s="11">
        <f t="shared" si="5"/>
        <v>0.61267918657628628</v>
      </c>
    </row>
    <row r="6" spans="1:16" x14ac:dyDescent="0.2">
      <c r="A6" t="s">
        <v>14</v>
      </c>
      <c r="B6">
        <v>2021</v>
      </c>
      <c r="C6" s="10">
        <f>SUMIFS(RawData!F:F, RawData!A:A,A6, RawData!B:B,B6, RawData!E:E,"RIAD4340")</f>
        <v>48334000</v>
      </c>
      <c r="D6" s="10" cm="1">
        <f t="array" ref="D6">_xlfn.XLOOKUP(1,(RawData!$A:$A=A6)*(RawData!$B:$B=B6)*(RawData!$D:$D="Total Assets"),RawData!$F:$F)</f>
        <v>3167893000</v>
      </c>
      <c r="E6" s="10" cm="1">
        <f t="array" ref="E6">_xlfn.XLOOKUP(1,(RawData!$A:$A=A6)*(RawData!$B:$B=B6)*(RawData!$D:$D="Total Equity Capital"),RawData!$F:$F)</f>
        <v>280360000</v>
      </c>
      <c r="F6" s="10" cm="1">
        <f t="array" ref="F6">_xlfn.XLOOKUP(1,(RawData!$A:$A=A6)*(RawData!$B:$B=B6)*(RawData!$D:$D="Total Loans (Gross)"),RawData!$F:$F)</f>
        <v>1065070000</v>
      </c>
      <c r="G6" s="10">
        <f>SUMIFS(RawData!F:F, RawData!A:A,A6, RawData!B:B,B6, RawData!E:E,"RCON2200")</f>
        <v>2373667000</v>
      </c>
      <c r="H6" s="10">
        <f>SUMIFS(RawData!F:F, RawData!A:A,A6, RawData!B:B,B6, RawData!E:E,"RIAD4074")</f>
        <v>52966000</v>
      </c>
      <c r="I6" s="10">
        <f>SUMIFS(RawData!F:F, RawData!A:A,A6, RawData!B:B,B6, RawData!E:E,"RIAD4079")</f>
        <v>59682000</v>
      </c>
      <c r="J6" s="10">
        <f>SUMIFS(RawData!F:F, RawData!A:A,A6, RawData!B:B,B6, RawData!E:E,"RIAD4093")</f>
        <v>71802000</v>
      </c>
      <c r="K6" s="11">
        <f t="shared" si="0"/>
        <v>1.5257459769001036E-2</v>
      </c>
      <c r="L6" s="11">
        <f t="shared" si="1"/>
        <v>0.17239977172207163</v>
      </c>
      <c r="M6" s="11">
        <f t="shared" si="2"/>
        <v>11.299375802539592</v>
      </c>
      <c r="N6" s="11">
        <f t="shared" si="3"/>
        <v>0.33620769388360022</v>
      </c>
      <c r="O6" s="11">
        <f t="shared" si="4"/>
        <v>0.44870236642292283</v>
      </c>
      <c r="P6" s="11">
        <f t="shared" si="5"/>
        <v>0.63740146296427813</v>
      </c>
    </row>
    <row r="7" spans="1:16" x14ac:dyDescent="0.2">
      <c r="A7" t="s">
        <v>14</v>
      </c>
      <c r="B7">
        <v>2020</v>
      </c>
      <c r="C7" s="10">
        <f>SUMIFS(RawData!F:F, RawData!A:A,A7, RawData!B:B,B7, RawData!E:E,"RIAD4340")</f>
        <v>21032000</v>
      </c>
      <c r="D7" s="10" cm="1">
        <f t="array" ref="D7">_xlfn.XLOOKUP(1,(RawData!$A:$A=A7)*(RawData!$B:$B=B7)*(RawData!$D:$D="Total Assets"),RawData!$F:$F)</f>
        <v>3386071000</v>
      </c>
      <c r="E7" s="10" cm="1">
        <f t="array" ref="E7">_xlfn.XLOOKUP(1,(RawData!$A:$A=A7)*(RawData!$B:$B=B7)*(RawData!$D:$D="Total Equity Capital"),RawData!$F:$F)</f>
        <v>270060000</v>
      </c>
      <c r="F7" s="10" cm="1">
        <f t="array" ref="F7">_xlfn.XLOOKUP(1,(RawData!$A:$A=A7)*(RawData!$B:$B=B7)*(RawData!$D:$D="Total Loans (Gross)"),RawData!$F:$F)</f>
        <v>1037654000</v>
      </c>
      <c r="G7" s="10">
        <f>SUMIFS(RawData!F:F, RawData!A:A,A7, RawData!B:B,B7, RawData!E:E,"RCON2200")</f>
        <v>2312125000</v>
      </c>
      <c r="H7" s="10">
        <f>SUMIFS(RawData!F:F, RawData!A:A,A7, RawData!B:B,B7, RawData!E:E,"RIAD4074")</f>
        <v>55294000</v>
      </c>
      <c r="I7" s="10">
        <f>SUMIFS(RawData!F:F, RawData!A:A,A7, RawData!B:B,B7, RawData!E:E,"RIAD4079")</f>
        <v>61104000</v>
      </c>
      <c r="J7" s="10">
        <f>SUMIFS(RawData!F:F, RawData!A:A,A7, RawData!B:B,B7, RawData!E:E,"RIAD4093")</f>
        <v>69354000</v>
      </c>
      <c r="K7" s="11">
        <f t="shared" si="0"/>
        <v>6.211328705157098E-3</v>
      </c>
      <c r="L7" s="11">
        <f t="shared" si="1"/>
        <v>7.787898985410649E-2</v>
      </c>
      <c r="M7" s="11">
        <f t="shared" si="2"/>
        <v>12.538217433163</v>
      </c>
      <c r="N7" s="11">
        <f t="shared" si="3"/>
        <v>0.30644779746201423</v>
      </c>
      <c r="O7" s="11">
        <f t="shared" si="4"/>
        <v>0.44878801967886683</v>
      </c>
      <c r="P7" s="11">
        <f t="shared" si="5"/>
        <v>0.59583497998247392</v>
      </c>
    </row>
    <row r="8" spans="1:16" x14ac:dyDescent="0.2">
      <c r="A8" t="s">
        <v>44</v>
      </c>
      <c r="B8">
        <v>2025</v>
      </c>
      <c r="C8" s="10">
        <f>SUMIFS(RawData!F:F, RawData!A:A,A8, RawData!B:B,B8, RawData!E:E,"RIAD4340")</f>
        <v>84000</v>
      </c>
      <c r="D8" s="10" cm="1">
        <f t="array" ref="D8">_xlfn.XLOOKUP(1,(RawData!$A:$A=A8)*(RawData!$B:$B=B8)*(RawData!$D:$D="Total Assets"),RawData!$F:$F)</f>
        <v>1177000</v>
      </c>
      <c r="E8" s="10" cm="1">
        <f t="array" ref="E8">_xlfn.XLOOKUP(1,(RawData!$A:$A=A8)*(RawData!$B:$B=B8)*(RawData!$D:$D="Total Equity Capital"),RawData!$F:$F)</f>
        <v>101000</v>
      </c>
      <c r="F8" s="10" cm="1">
        <f t="array" ref="F8">_xlfn.XLOOKUP(1,(RawData!$A:$A=A8)*(RawData!$B:$B=B8)*(RawData!$D:$D="Total Loans (Gross)"),RawData!$F:$F)</f>
        <v>733000</v>
      </c>
      <c r="G8" s="10">
        <f>SUMIFS(RawData!F:F, RawData!A:A,A8, RawData!B:B,B8, RawData!E:E,"RCON2200")</f>
        <v>1060000</v>
      </c>
      <c r="H8" s="10">
        <f>SUMIFS(RawData!F:F, RawData!A:A,A8, RawData!B:B,B8, RawData!E:E,"RIAD4074")</f>
        <v>238000</v>
      </c>
      <c r="I8" s="10">
        <f>SUMIFS(RawData!F:F, RawData!A:A,A8, RawData!B:B,B8, RawData!E:E,"RIAD4079")</f>
        <v>1000</v>
      </c>
      <c r="J8" s="10">
        <f>SUMIFS(RawData!F:F, RawData!A:A,A8, RawData!B:B,B8, RawData!E:E,"RIAD4093")</f>
        <v>125000</v>
      </c>
      <c r="K8" s="11">
        <f t="shared" si="0"/>
        <v>7.1367884451996599E-2</v>
      </c>
      <c r="L8" s="11">
        <f>C8/E8</f>
        <v>0.83168316831683164</v>
      </c>
      <c r="M8" s="11">
        <f t="shared" si="2"/>
        <v>11.653465346534654</v>
      </c>
      <c r="N8" s="11">
        <f t="shared" si="3"/>
        <v>0.62276975361087505</v>
      </c>
      <c r="O8" s="11">
        <f t="shared" si="4"/>
        <v>0.69150943396226416</v>
      </c>
      <c r="P8" s="11">
        <f t="shared" si="5"/>
        <v>0.52301255230125521</v>
      </c>
    </row>
    <row r="9" spans="1:16" x14ac:dyDescent="0.2">
      <c r="A9" t="s">
        <v>44</v>
      </c>
      <c r="B9">
        <v>2024</v>
      </c>
      <c r="C9" s="10">
        <f>SUMIFS(RawData!F:F, RawData!A:A,A9, RawData!B:B,B9, RawData!E:E,"RIAD4340")</f>
        <v>69000</v>
      </c>
      <c r="D9" s="10" cm="1">
        <f t="array" ref="D9">_xlfn.XLOOKUP(1,(RawData!$A:$A=A9)*(RawData!$B:$B=B9)*(RawData!$D:$D="Total Assets"),RawData!$F:$F)</f>
        <v>1104000</v>
      </c>
      <c r="E9" s="10" cm="1">
        <f t="array" ref="E9">_xlfn.XLOOKUP(1,(RawData!$A:$A=A9)*(RawData!$B:$B=B9)*(RawData!$D:$D="Total Equity Capital"),RawData!$F:$F)</f>
        <v>92000</v>
      </c>
      <c r="F9" s="10" cm="1">
        <f t="array" ref="F9">_xlfn.XLOOKUP(1,(RawData!$A:$A=A9)*(RawData!$B:$B=B9)*(RawData!$D:$D="Total Loans (Gross)"),RawData!$F:$F)</f>
        <v>682000</v>
      </c>
      <c r="G9" s="10">
        <f>SUMIFS(RawData!F:F, RawData!A:A,A9, RawData!B:B,B9, RawData!E:E,"RCON2200")</f>
        <v>1002000</v>
      </c>
      <c r="H9" s="10">
        <f>SUMIFS(RawData!F:F, RawData!A:A,A9, RawData!B:B,B9, RawData!E:E,"RIAD4074")</f>
        <v>169000</v>
      </c>
      <c r="I9" s="10">
        <f>SUMIFS(RawData!F:F, RawData!A:A,A9, RawData!B:B,B9, RawData!E:E,"RIAD4079")</f>
        <v>-2000</v>
      </c>
      <c r="J9" s="10">
        <f>SUMIFS(RawData!F:F, RawData!A:A,A9, RawData!B:B,B9, RawData!E:E,"RIAD4093")</f>
        <v>75000</v>
      </c>
      <c r="K9" s="11">
        <f t="shared" si="0"/>
        <v>6.25E-2</v>
      </c>
      <c r="L9" s="11">
        <f t="shared" si="1"/>
        <v>0.75</v>
      </c>
      <c r="M9" s="11">
        <f t="shared" si="2"/>
        <v>12</v>
      </c>
      <c r="N9" s="11">
        <f t="shared" si="3"/>
        <v>0.61775362318840576</v>
      </c>
      <c r="O9" s="11">
        <f t="shared" si="4"/>
        <v>0.68063872255489022</v>
      </c>
      <c r="P9" s="11">
        <f t="shared" si="5"/>
        <v>0.44910179640718562</v>
      </c>
    </row>
    <row r="10" spans="1:16" x14ac:dyDescent="0.2">
      <c r="A10" t="s">
        <v>44</v>
      </c>
      <c r="B10">
        <v>2023</v>
      </c>
      <c r="C10" s="10">
        <f>SUMIFS(RawData!F:F, RawData!A:A,A10, RawData!B:B,B10, RawData!E:E,"RIAD4340")</f>
        <v>63000</v>
      </c>
      <c r="D10" s="10" cm="1">
        <f t="array" ref="D10">_xlfn.XLOOKUP(1,(RawData!$A:$A=A10)*(RawData!$B:$B=B10)*(RawData!$D:$D="Total Assets"),RawData!$F:$F)</f>
        <v>1046000</v>
      </c>
      <c r="E10" s="10" cm="1">
        <f t="array" ref="E10">_xlfn.XLOOKUP(1,(RawData!$A:$A=A10)*(RawData!$B:$B=B10)*(RawData!$D:$D="Total Equity Capital"),RawData!$F:$F)</f>
        <v>87000</v>
      </c>
      <c r="F10" s="10" cm="1">
        <f t="array" ref="F10">_xlfn.XLOOKUP(1,(RawData!$A:$A=A10)*(RawData!$B:$B=B10)*(RawData!$D:$D="Total Loans (Gross)"),RawData!$F:$F)</f>
        <v>631000</v>
      </c>
      <c r="G10" s="10">
        <f>SUMIFS(RawData!F:F, RawData!A:A,A10, RawData!B:B,B10, RawData!E:E,"RCON2200")</f>
        <v>946000</v>
      </c>
      <c r="H10" s="10">
        <f>SUMIFS(RawData!F:F, RawData!A:A,A10, RawData!B:B,B10, RawData!E:E,"RIAD4074")</f>
        <v>154000</v>
      </c>
      <c r="I10" s="10">
        <f>SUMIFS(RawData!F:F, RawData!A:A,A10, RawData!B:B,B10, RawData!E:E,"RIAD4079")</f>
        <v>-1000</v>
      </c>
      <c r="J10" s="10">
        <f>SUMIFS(RawData!F:F, RawData!A:A,A10, RawData!B:B,B10, RawData!E:E,"RIAD4093")</f>
        <v>71000</v>
      </c>
      <c r="K10" s="11">
        <f t="shared" si="0"/>
        <v>6.022944550669216E-2</v>
      </c>
      <c r="L10" s="11">
        <f t="shared" si="1"/>
        <v>0.72413793103448276</v>
      </c>
      <c r="M10" s="11">
        <f t="shared" si="2"/>
        <v>12.022988505747126</v>
      </c>
      <c r="N10" s="11">
        <f t="shared" si="3"/>
        <v>0.60325047801147225</v>
      </c>
      <c r="O10" s="11">
        <f t="shared" si="4"/>
        <v>0.66701902748414377</v>
      </c>
      <c r="P10" s="11">
        <f t="shared" si="5"/>
        <v>0.46405228758169936</v>
      </c>
    </row>
    <row r="11" spans="1:16" x14ac:dyDescent="0.2">
      <c r="A11" t="s">
        <v>44</v>
      </c>
      <c r="B11">
        <v>2022</v>
      </c>
      <c r="C11" s="10">
        <f>SUMIFS(RawData!F:F, RawData!A:A,A11, RawData!B:B,B11, RawData!E:E,"RIAD4340")</f>
        <v>55000</v>
      </c>
      <c r="D11" s="10" cm="1">
        <f t="array" ref="D11">_xlfn.XLOOKUP(1,(RawData!$A:$A=A11)*(RawData!$B:$B=B11)*(RawData!$D:$D="Total Assets"),RawData!$F:$F)</f>
        <v>1012000</v>
      </c>
      <c r="E11" s="10" cm="1">
        <f t="array" ref="E11">_xlfn.XLOOKUP(1,(RawData!$A:$A=A11)*(RawData!$B:$B=B11)*(RawData!$D:$D="Total Equity Capital"),RawData!$F:$F)</f>
        <v>84000</v>
      </c>
      <c r="F11" s="10" cm="1">
        <f t="array" ref="F11">_xlfn.XLOOKUP(1,(RawData!$A:$A=A11)*(RawData!$B:$B=B11)*(RawData!$D:$D="Total Loans (Gross)"),RawData!$F:$F)</f>
        <v>604000</v>
      </c>
      <c r="G11" s="10">
        <f>SUMIFS(RawData!F:F, RawData!A:A,A11, RawData!B:B,B11, RawData!E:E,"RCON2200")</f>
        <v>923000</v>
      </c>
      <c r="H11" s="10">
        <f>SUMIFS(RawData!F:F, RawData!A:A,A11, RawData!B:B,B11, RawData!E:E,"RIAD4074")</f>
        <v>140000</v>
      </c>
      <c r="I11" s="10">
        <f>SUMIFS(RawData!F:F, RawData!A:A,A11, RawData!B:B,B11, RawData!E:E,"RIAD4079")</f>
        <v>-3000</v>
      </c>
      <c r="J11" s="10">
        <f>SUMIFS(RawData!F:F, RawData!A:A,A11, RawData!B:B,B11, RawData!E:E,"RIAD4093")</f>
        <v>68000</v>
      </c>
      <c r="K11" s="11">
        <f t="shared" si="0"/>
        <v>5.434782608695652E-2</v>
      </c>
      <c r="L11" s="11">
        <f t="shared" si="1"/>
        <v>0.65476190476190477</v>
      </c>
      <c r="M11" s="11">
        <f t="shared" si="2"/>
        <v>12.047619047619047</v>
      </c>
      <c r="N11" s="11">
        <f t="shared" si="3"/>
        <v>0.59683794466403162</v>
      </c>
      <c r="O11" s="11">
        <f t="shared" si="4"/>
        <v>0.65438786565547125</v>
      </c>
      <c r="P11" s="11">
        <f t="shared" si="5"/>
        <v>0.49635036496350365</v>
      </c>
    </row>
    <row r="12" spans="1:16" x14ac:dyDescent="0.2">
      <c r="A12" t="s">
        <v>44</v>
      </c>
      <c r="B12">
        <v>2021</v>
      </c>
      <c r="C12" s="10">
        <f>SUMIFS(RawData!F:F, RawData!A:A,A12, RawData!B:B,B12, RawData!E:E,"RIAD4340")</f>
        <v>47000</v>
      </c>
      <c r="D12" s="10" cm="1">
        <f t="array" ref="D12">_xlfn.XLOOKUP(1,(RawData!$A:$A=A12)*(RawData!$B:$B=B12)*(RawData!$D:$D="Total Assets"),RawData!$F:$F)</f>
        <v>978000</v>
      </c>
      <c r="E12" s="10" cm="1">
        <f t="array" ref="E12">_xlfn.XLOOKUP(1,(RawData!$A:$A=A12)*(RawData!$B:$B=B12)*(RawData!$D:$D="Total Equity Capital"),RawData!$F:$F)</f>
        <v>81000</v>
      </c>
      <c r="F12" s="10" cm="1">
        <f t="array" ref="F12">_xlfn.XLOOKUP(1,(RawData!$A:$A=A12)*(RawData!$B:$B=B12)*(RawData!$D:$D="Total Loans (Gross)"),RawData!$F:$F)</f>
        <v>589000</v>
      </c>
      <c r="G12" s="10">
        <f>SUMIFS(RawData!F:F, RawData!A:A,A12, RawData!B:B,B12, RawData!E:E,"RCON2200")</f>
        <v>905000</v>
      </c>
      <c r="H12" s="10">
        <f>SUMIFS(RawData!F:F, RawData!A:A,A12, RawData!B:B,B12, RawData!E:E,"RIAD4074")</f>
        <v>130000</v>
      </c>
      <c r="I12" s="10">
        <f>SUMIFS(RawData!F:F, RawData!A:A,A12, RawData!B:B,B12, RawData!E:E,"RIAD4079")</f>
        <v>-4000</v>
      </c>
      <c r="J12" s="10">
        <f>SUMIFS(RawData!F:F, RawData!A:A,A12, RawData!B:B,B12, RawData!E:E,"RIAD4093")</f>
        <v>65000</v>
      </c>
      <c r="K12" s="11">
        <f t="shared" si="0"/>
        <v>4.8057259713701429E-2</v>
      </c>
      <c r="L12" s="11">
        <f t="shared" si="1"/>
        <v>0.58024691358024694</v>
      </c>
      <c r="M12" s="11">
        <f t="shared" si="2"/>
        <v>12.074074074074074</v>
      </c>
      <c r="N12" s="11">
        <f t="shared" si="3"/>
        <v>0.60224948875255624</v>
      </c>
      <c r="O12" s="11">
        <f t="shared" si="4"/>
        <v>0.65082872928176794</v>
      </c>
      <c r="P12" s="11">
        <f t="shared" si="5"/>
        <v>0.51587301587301593</v>
      </c>
    </row>
    <row r="13" spans="1:16" x14ac:dyDescent="0.2">
      <c r="A13" t="s">
        <v>44</v>
      </c>
      <c r="B13">
        <v>2020</v>
      </c>
      <c r="C13" s="10">
        <f>SUMIFS(RawData!F:F, RawData!A:A,A13, RawData!B:B,B13, RawData!E:E,"RIAD4340")</f>
        <v>39000</v>
      </c>
      <c r="D13" s="10" cm="1">
        <f t="array" ref="D13">_xlfn.XLOOKUP(1,(RawData!$A:$A=A13)*(RawData!$B:$B=B13)*(RawData!$D:$D="Total Assets"),RawData!$F:$F)</f>
        <v>954000</v>
      </c>
      <c r="E13" s="10" cm="1">
        <f t="array" ref="E13">_xlfn.XLOOKUP(1,(RawData!$A:$A=A13)*(RawData!$B:$B=B13)*(RawData!$D:$D="Total Equity Capital"),RawData!$F:$F)</f>
        <v>78000</v>
      </c>
      <c r="F13" s="10" cm="1">
        <f t="array" ref="F13">_xlfn.XLOOKUP(1,(RawData!$A:$A=A13)*(RawData!$B:$B=B13)*(RawData!$D:$D="Total Loans (Gross)"),RawData!$F:$F)</f>
        <v>575000</v>
      </c>
      <c r="G13" s="10">
        <f>SUMIFS(RawData!F:F, RawData!A:A,A13, RawData!B:B,B13, RawData!E:E,"RCON2200")</f>
        <v>889000</v>
      </c>
      <c r="H13" s="10">
        <f>SUMIFS(RawData!F:F, RawData!A:A,A13, RawData!B:B,B13, RawData!E:E,"RIAD4074")</f>
        <v>122000</v>
      </c>
      <c r="I13" s="10">
        <f>SUMIFS(RawData!F:F, RawData!A:A,A13, RawData!B:B,B13, RawData!E:E,"RIAD4079")</f>
        <v>-6000</v>
      </c>
      <c r="J13" s="10">
        <f>SUMIFS(RawData!F:F, RawData!A:A,A13, RawData!B:B,B13, RawData!E:E,"RIAD4093")</f>
        <v>63000</v>
      </c>
      <c r="K13" s="11">
        <f t="shared" si="0"/>
        <v>4.0880503144654086E-2</v>
      </c>
      <c r="L13" s="11">
        <f t="shared" si="1"/>
        <v>0.5</v>
      </c>
      <c r="M13" s="11">
        <f t="shared" si="2"/>
        <v>12.23076923076923</v>
      </c>
      <c r="N13" s="11">
        <f t="shared" si="3"/>
        <v>0.60272536687631029</v>
      </c>
      <c r="O13" s="11">
        <f t="shared" si="4"/>
        <v>0.64679415073115865</v>
      </c>
      <c r="P13" s="11">
        <f t="shared" si="5"/>
        <v>0.5431034482758621</v>
      </c>
    </row>
    <row r="14" spans="1:16" x14ac:dyDescent="0.2">
      <c r="A14" t="s">
        <v>95</v>
      </c>
      <c r="B14">
        <v>2025</v>
      </c>
      <c r="C14" s="10">
        <f>SUMIFS(RawData!F:F, RawData!A:A,A14, RawData!B:B,B14, RawData!E:E,"RIAD4340")</f>
        <v>7234397</v>
      </c>
      <c r="D14" s="10" cm="1">
        <f t="array" ref="D14">_xlfn.XLOOKUP(1,(RawData!$A:$A=A14)*(RawData!$B:$B=B14)*(RawData!$D:$D="Total Assets"),RawData!$F:$F)</f>
        <v>562109930</v>
      </c>
      <c r="E14" s="10" cm="1">
        <f t="array" ref="E14">_xlfn.XLOOKUP(1,(RawData!$A:$A=A14)*(RawData!$B:$B=B14)*(RawData!$D:$D="Total Equity Capital"),RawData!$F:$F)</f>
        <v>57348704</v>
      </c>
      <c r="F14" s="10" cm="1">
        <f t="array" ref="F14">_xlfn.XLOOKUP(1,(RawData!$A:$A=A14)*(RawData!$B:$B=B14)*(RawData!$D:$D="Total Loans (Gross)"),RawData!$F:$F)</f>
        <v>325102041</v>
      </c>
      <c r="G14" s="10">
        <f>SUMIFS(RawData!F:F, RawData!A:A,A14, RawData!B:B,B14, RawData!E:E,"RCON2200")</f>
        <v>441153496</v>
      </c>
      <c r="H14" s="10">
        <f>SUMIFS(RawData!F:F, RawData!A:A,A14, RawData!B:B,B14, RawData!E:E,"RIAD4074")</f>
        <v>15135750</v>
      </c>
      <c r="I14" s="10">
        <f>SUMIFS(RawData!F:F, RawData!A:A,A14, RawData!B:B,B14, RawData!E:E,"RIAD4079")</f>
        <v>7780792</v>
      </c>
      <c r="J14" s="10">
        <f>SUMIFS(RawData!F:F, RawData!A:A,A14, RawData!B:B,B14, RawData!E:E,"RIAD4093")</f>
        <v>13249878</v>
      </c>
      <c r="K14" s="11">
        <f t="shared" si="0"/>
        <v>1.2870075075884177E-2</v>
      </c>
      <c r="L14" s="11">
        <f t="shared" si="1"/>
        <v>0.12614752375223684</v>
      </c>
      <c r="M14" s="11">
        <f t="shared" si="2"/>
        <v>9.8016152204590359</v>
      </c>
      <c r="N14" s="11">
        <f t="shared" si="3"/>
        <v>0.57836025241539502</v>
      </c>
      <c r="O14" s="11">
        <f t="shared" si="4"/>
        <v>0.73693633610012244</v>
      </c>
      <c r="P14" s="11">
        <f t="shared" si="5"/>
        <v>0.57817963984269527</v>
      </c>
    </row>
    <row r="15" spans="1:16" x14ac:dyDescent="0.2">
      <c r="A15" t="s">
        <v>95</v>
      </c>
      <c r="B15">
        <v>2024</v>
      </c>
      <c r="C15" s="10">
        <f>SUMIFS(RawData!F:F, RawData!A:A,A15, RawData!B:B,B15, RawData!E:E,"RIAD4340")</f>
        <v>6200272</v>
      </c>
      <c r="D15" s="10" cm="1">
        <f t="array" ref="D15">_xlfn.XLOOKUP(1,(RawData!$A:$A=A15)*(RawData!$B:$B=B15)*(RawData!$D:$D="Total Assets"),RawData!$F:$F)</f>
        <v>561989000</v>
      </c>
      <c r="E15" s="10" cm="1">
        <f t="array" ref="E15">_xlfn.XLOOKUP(1,(RawData!$A:$A=A15)*(RawData!$B:$B=B15)*(RawData!$D:$D="Total Equity Capital"),RawData!$F:$F)</f>
        <v>55934000</v>
      </c>
      <c r="F15" s="10" cm="1">
        <f t="array" ref="F15">_xlfn.XLOOKUP(1,(RawData!$A:$A=A15)*(RawData!$B:$B=B15)*(RawData!$D:$D="Total Loans (Gross)"),RawData!$F:$F)</f>
        <v>322241000</v>
      </c>
      <c r="G15" s="10">
        <f>SUMIFS(RawData!F:F, RawData!A:A,A15, RawData!B:B,B15, RawData!E:E,"RCON2200")</f>
        <v>440970000</v>
      </c>
      <c r="H15" s="10">
        <f>SUMIFS(RawData!F:F, RawData!A:A,A15, RawData!B:B,B15, RawData!E:E,"RIAD4074")</f>
        <v>14226471</v>
      </c>
      <c r="I15" s="10">
        <f>SUMIFS(RawData!F:F, RawData!A:A,A15, RawData!B:B,B15, RawData!E:E,"RIAD4079")</f>
        <v>7778298</v>
      </c>
      <c r="J15" s="10">
        <f>SUMIFS(RawData!F:F, RawData!A:A,A15, RawData!B:B,B15, RawData!E:E,"RIAD4093")</f>
        <v>13043794</v>
      </c>
      <c r="K15" s="11">
        <f t="shared" si="0"/>
        <v>1.1032728398598549E-2</v>
      </c>
      <c r="L15" s="11">
        <f t="shared" si="1"/>
        <v>0.11084978724925805</v>
      </c>
      <c r="M15" s="11">
        <f t="shared" si="2"/>
        <v>10.047359387849966</v>
      </c>
      <c r="N15" s="11">
        <f t="shared" si="3"/>
        <v>0.57339378528761242</v>
      </c>
      <c r="O15" s="11">
        <f t="shared" si="4"/>
        <v>0.73075492663900043</v>
      </c>
      <c r="P15" s="11">
        <f t="shared" si="5"/>
        <v>0.59277123063641346</v>
      </c>
    </row>
    <row r="16" spans="1:16" x14ac:dyDescent="0.2">
      <c r="A16" t="s">
        <v>95</v>
      </c>
      <c r="B16">
        <v>2023</v>
      </c>
      <c r="C16" s="10">
        <f>SUMIFS(RawData!F:F, RawData!A:A,A16, RawData!B:B,B16, RawData!E:E,"RIAD4340")</f>
        <v>5739000</v>
      </c>
      <c r="D16" s="10" cm="1">
        <f t="array" ref="D16">_xlfn.XLOOKUP(1,(RawData!$A:$A=A16)*(RawData!$B:$B=B16)*(RawData!$D:$D="Total Assets"),RawData!$F:$F)</f>
        <v>559344000</v>
      </c>
      <c r="E16" s="10" cm="1">
        <f t="array" ref="E16">_xlfn.XLOOKUP(1,(RawData!$A:$A=A16)*(RawData!$B:$B=B16)*(RawData!$D:$D="Total Equity Capital"),RawData!$F:$F)</f>
        <v>54733000</v>
      </c>
      <c r="F16" s="10" cm="1">
        <f t="array" ref="F16">_xlfn.XLOOKUP(1,(RawData!$A:$A=A16)*(RawData!$B:$B=B16)*(RawData!$D:$D="Total Loans (Gross)"),RawData!$F:$F)</f>
        <v>320236000</v>
      </c>
      <c r="G16" s="10">
        <f>SUMIFS(RawData!F:F, RawData!A:A,A16, RawData!B:B,B16, RawData!E:E,"RCON2200")</f>
        <v>438321000</v>
      </c>
      <c r="H16" s="10">
        <f>SUMIFS(RawData!F:F, RawData!A:A,A16, RawData!B:B,B16, RawData!E:E,"RIAD4074")</f>
        <v>13259000</v>
      </c>
      <c r="I16" s="10">
        <f>SUMIFS(RawData!F:F, RawData!A:A,A16, RawData!B:B,B16, RawData!E:E,"RIAD4079")</f>
        <v>7184000</v>
      </c>
      <c r="J16" s="10">
        <f>SUMIFS(RawData!F:F, RawData!A:A,A16, RawData!B:B,B16, RawData!E:E,"RIAD4093")</f>
        <v>12745000</v>
      </c>
      <c r="K16" s="11">
        <f t="shared" si="0"/>
        <v>1.0260233416287651E-2</v>
      </c>
      <c r="L16" s="11">
        <f t="shared" si="1"/>
        <v>0.10485447536221293</v>
      </c>
      <c r="M16" s="11">
        <f t="shared" si="2"/>
        <v>10.219501945809657</v>
      </c>
      <c r="N16" s="11">
        <f t="shared" si="3"/>
        <v>0.57252066706713578</v>
      </c>
      <c r="O16" s="11">
        <f t="shared" si="4"/>
        <v>0.73059698257669603</v>
      </c>
      <c r="P16" s="11">
        <f t="shared" si="5"/>
        <v>0.6234407865773125</v>
      </c>
    </row>
    <row r="17" spans="1:19" x14ac:dyDescent="0.2">
      <c r="A17" t="s">
        <v>95</v>
      </c>
      <c r="B17">
        <v>2022</v>
      </c>
      <c r="C17" s="10">
        <f>SUMIFS(RawData!F:F, RawData!A:A,A17, RawData!B:B,B17, RawData!E:E,"RIAD4340")</f>
        <v>6476000</v>
      </c>
      <c r="D17" s="10" cm="1">
        <f t="array" ref="D17">_xlfn.XLOOKUP(1,(RawData!$A:$A=A17)*(RawData!$B:$B=B17)*(RawData!$D:$D="Total Assets"),RawData!$F:$F)</f>
        <v>554206000</v>
      </c>
      <c r="E17" s="10" cm="1">
        <f t="array" ref="E17">_xlfn.XLOOKUP(1,(RawData!$A:$A=A17)*(RawData!$B:$B=B17)*(RawData!$D:$D="Total Equity Capital"),RawData!$F:$F)</f>
        <v>52618000</v>
      </c>
      <c r="F17" s="10" cm="1">
        <f t="array" ref="F17">_xlfn.XLOOKUP(1,(RawData!$A:$A=A17)*(RawData!$B:$B=B17)*(RawData!$D:$D="Total Loans (Gross)"),RawData!$F:$F)</f>
        <v>315070000</v>
      </c>
      <c r="G17" s="10">
        <f>SUMIFS(RawData!F:F, RawData!A:A,A17, RawData!B:B,B17, RawData!E:E,"RCON2200")</f>
        <v>436004000</v>
      </c>
      <c r="H17" s="10">
        <f>SUMIFS(RawData!F:F, RawData!A:A,A17, RawData!B:B,B17, RawData!E:E,"RIAD4074")</f>
        <v>11640000</v>
      </c>
      <c r="I17" s="10">
        <f>SUMIFS(RawData!F:F, RawData!A:A,A17, RawData!B:B,B17, RawData!E:E,"RIAD4079")</f>
        <v>8060000</v>
      </c>
      <c r="J17" s="10">
        <f>SUMIFS(RawData!F:F, RawData!A:A,A17, RawData!B:B,B17, RawData!E:E,"RIAD4093")</f>
        <v>12933000</v>
      </c>
      <c r="K17" s="11">
        <f t="shared" si="0"/>
        <v>1.1685185652988239E-2</v>
      </c>
      <c r="L17" s="11">
        <f t="shared" si="1"/>
        <v>0.12307575354441445</v>
      </c>
      <c r="M17" s="11">
        <f t="shared" si="2"/>
        <v>10.532631418906078</v>
      </c>
      <c r="N17" s="11">
        <f t="shared" si="3"/>
        <v>0.56850701724629471</v>
      </c>
      <c r="O17" s="11">
        <f t="shared" si="4"/>
        <v>0.72263098503683454</v>
      </c>
      <c r="P17" s="11">
        <f t="shared" si="5"/>
        <v>0.65649746192893399</v>
      </c>
    </row>
    <row r="18" spans="1:19" x14ac:dyDescent="0.2">
      <c r="A18" t="s">
        <v>95</v>
      </c>
      <c r="B18">
        <v>2021</v>
      </c>
      <c r="C18" s="10">
        <f>SUMIFS(RawData!F:F, RawData!A:A,A18, RawData!B:B,B18, RawData!E:E,"RIAD4340")</f>
        <v>5674000</v>
      </c>
      <c r="D18" s="10" cm="1">
        <f t="array" ref="D18">_xlfn.XLOOKUP(1,(RawData!$A:$A=A18)*(RawData!$B:$B=B18)*(RawData!$D:$D="Total Assets"),RawData!$F:$F)</f>
        <v>541447000</v>
      </c>
      <c r="E18" s="10" cm="1">
        <f t="array" ref="E18">_xlfn.XLOOKUP(1,(RawData!$A:$A=A18)*(RawData!$B:$B=B18)*(RawData!$D:$D="Total Equity Capital"),RawData!$F:$F)</f>
        <v>50487000</v>
      </c>
      <c r="F18" s="10" cm="1">
        <f t="array" ref="F18">_xlfn.XLOOKUP(1,(RawData!$A:$A=A18)*(RawData!$B:$B=B18)*(RawData!$D:$D="Total Loans (Gross)"),RawData!$F:$F)</f>
        <v>303520000</v>
      </c>
      <c r="G18" s="10">
        <f>SUMIFS(RawData!F:F, RawData!A:A,A18, RawData!B:B,B18, RawData!E:E,"RCON2200")</f>
        <v>430128000</v>
      </c>
      <c r="H18" s="10">
        <f>SUMIFS(RawData!F:F, RawData!A:A,A18, RawData!B:B,B18, RawData!E:E,"RIAD4074")</f>
        <v>10392000</v>
      </c>
      <c r="I18" s="10">
        <f>SUMIFS(RawData!F:F, RawData!A:A,A18, RawData!B:B,B18, RawData!E:E,"RIAD4079")</f>
        <v>8006000</v>
      </c>
      <c r="J18" s="10">
        <f>SUMIFS(RawData!F:F, RawData!A:A,A18, RawData!B:B,B18, RawData!E:E,"RIAD4093")</f>
        <v>12191000</v>
      </c>
      <c r="K18" s="11">
        <f t="shared" si="0"/>
        <v>1.0479326693102002E-2</v>
      </c>
      <c r="L18" s="11">
        <f t="shared" si="1"/>
        <v>0.11238536652999782</v>
      </c>
      <c r="M18" s="11">
        <f t="shared" si="2"/>
        <v>10.724483530413769</v>
      </c>
      <c r="N18" s="11">
        <f t="shared" si="3"/>
        <v>0.5605719488703419</v>
      </c>
      <c r="O18" s="11">
        <f t="shared" si="4"/>
        <v>0.70565041104043447</v>
      </c>
      <c r="P18" s="11">
        <f t="shared" si="5"/>
        <v>0.66262637243178601</v>
      </c>
    </row>
    <row r="19" spans="1:19" x14ac:dyDescent="0.2">
      <c r="A19" t="s">
        <v>95</v>
      </c>
      <c r="B19">
        <v>2020</v>
      </c>
      <c r="C19" s="10">
        <f>SUMIFS(RawData!F:F, RawData!A:A,A19, RawData!B:B,B19, RawData!E:E,"RIAD4340")</f>
        <v>4420000</v>
      </c>
      <c r="D19" s="10" cm="1">
        <f t="array" ref="D19">_xlfn.XLOOKUP(1,(RawData!$A:$A=A19)*(RawData!$B:$B=B19)*(RawData!$D:$D="Total Assets"),RawData!$F:$F)</f>
        <v>466233000</v>
      </c>
      <c r="E19" s="10" cm="1">
        <f t="array" ref="E19">_xlfn.XLOOKUP(1,(RawData!$A:$A=A19)*(RawData!$B:$B=B19)*(RawData!$D:$D="Total Equity Capital"),RawData!$F:$F)</f>
        <v>46286000</v>
      </c>
      <c r="F19" s="10" cm="1">
        <f t="array" ref="F19">_xlfn.XLOOKUP(1,(RawData!$A:$A=A19)*(RawData!$B:$B=B19)*(RawData!$D:$D="Total Loans (Gross)"),RawData!$F:$F)</f>
        <v>248320000</v>
      </c>
      <c r="G19" s="10">
        <f>SUMIFS(RawData!F:F, RawData!A:A,A19, RawData!B:B,B19, RawData!E:E,"RCON2200")</f>
        <v>383933000</v>
      </c>
      <c r="H19" s="10">
        <f>SUMIFS(RawData!F:F, RawData!A:A,A19, RawData!B:B,B19, RawData!E:E,"RIAD4074")</f>
        <v>9879000</v>
      </c>
      <c r="I19" s="10">
        <f>SUMIFS(RawData!F:F, RawData!A:A,A19, RawData!B:B,B19, RawData!E:E,"RIAD4079")</f>
        <v>7920000</v>
      </c>
      <c r="J19" s="10">
        <f>SUMIFS(RawData!F:F, RawData!A:A,A19, RawData!B:B,B19, RawData!E:E,"RIAD4093")</f>
        <v>12505000</v>
      </c>
      <c r="K19" s="11">
        <f t="shared" si="0"/>
        <v>9.480238421561751E-3</v>
      </c>
      <c r="L19" s="11">
        <f t="shared" si="1"/>
        <v>9.5493237696063604E-2</v>
      </c>
      <c r="M19" s="11">
        <f t="shared" si="2"/>
        <v>10.072873006956748</v>
      </c>
      <c r="N19" s="11">
        <f t="shared" si="3"/>
        <v>0.53260923186475428</v>
      </c>
      <c r="O19" s="11">
        <f t="shared" si="4"/>
        <v>0.64677951621767338</v>
      </c>
      <c r="P19" s="11">
        <f t="shared" si="5"/>
        <v>0.70256755997527953</v>
      </c>
    </row>
    <row r="20" spans="1:19" x14ac:dyDescent="0.2">
      <c r="A20" t="s">
        <v>97</v>
      </c>
      <c r="B20">
        <v>2025</v>
      </c>
      <c r="C20" s="10">
        <f>SUMIFS(RawData!F:F, RawData!A:A,A20, RawData!B:B,B20, RawData!E:E,"RIAD4340")</f>
        <v>5537000</v>
      </c>
      <c r="D20" s="10" cm="1">
        <f t="array" ref="D20">_xlfn.XLOOKUP(1,(RawData!$A:$A=A20)*(RawData!$B:$B=B20)*(RawData!$D:$D="Total Assets"),RawData!$F:$F)</f>
        <v>535800000</v>
      </c>
      <c r="E20" s="10" cm="1">
        <f t="array" ref="E20">_xlfn.XLOOKUP(1,(RawData!$A:$A=A20)*(RawData!$B:$B=B20)*(RawData!$D:$D="Total Equity Capital"),RawData!$F:$F)</f>
        <v>49600000</v>
      </c>
      <c r="F20" s="10" cm="1">
        <f t="array" ref="F20">_xlfn.XLOOKUP(1,(RawData!$A:$A=A20)*(RawData!$B:$B=B20)*(RawData!$D:$D="Total Loans (Gross)"),RawData!$F:$F)</f>
        <v>318200000</v>
      </c>
      <c r="G20" s="10">
        <f>SUMIFS(RawData!F:F, RawData!A:A,A20, RawData!B:B,B20, RawData!E:E,"RCON2200")</f>
        <v>412300000</v>
      </c>
      <c r="H20" s="10">
        <f>SUMIFS(RawData!F:F, RawData!A:A,A20, RawData!B:B,B20, RawData!E:E,"RIAD4074")</f>
        <v>14812000</v>
      </c>
      <c r="I20" s="10">
        <f>SUMIFS(RawData!F:F, RawData!A:A,A20, RawData!B:B,B20, RawData!E:E,"RIAD4079")</f>
        <v>4527000</v>
      </c>
      <c r="J20" s="10">
        <f>SUMIFS(RawData!F:F, RawData!A:A,A20, RawData!B:B,B20, RawData!E:E,"RIAD4093")</f>
        <v>10810000</v>
      </c>
      <c r="K20" s="11">
        <f t="shared" si="0"/>
        <v>1.0334079880552445E-2</v>
      </c>
      <c r="L20" s="11">
        <f t="shared" si="1"/>
        <v>0.11163306451612903</v>
      </c>
      <c r="M20" s="11">
        <f t="shared" si="2"/>
        <v>10.80241935483871</v>
      </c>
      <c r="N20" s="11">
        <f t="shared" si="3"/>
        <v>0.59387831280328485</v>
      </c>
      <c r="O20" s="11">
        <f t="shared" si="4"/>
        <v>0.77176813000242539</v>
      </c>
      <c r="P20" s="11">
        <f t="shared" si="5"/>
        <v>0.55897409380009311</v>
      </c>
    </row>
    <row r="21" spans="1:19" x14ac:dyDescent="0.2">
      <c r="A21" t="s">
        <v>97</v>
      </c>
      <c r="B21">
        <v>2024</v>
      </c>
      <c r="C21" s="10">
        <f>SUMIFS(RawData!F:F, RawData!A:A,A21, RawData!B:B,B21, RawData!E:E,"RIAD4340")</f>
        <v>5043000</v>
      </c>
      <c r="D21" s="10" cm="1">
        <f t="array" ref="D21">_xlfn.XLOOKUP(1,(RawData!$A:$A=A21)*(RawData!$B:$B=B21)*(RawData!$D:$D="Total Assets"),RawData!$F:$F)</f>
        <v>540600000</v>
      </c>
      <c r="E21" s="10" cm="1">
        <f t="array" ref="E21">_xlfn.XLOOKUP(1,(RawData!$A:$A=A21)*(RawData!$B:$B=B21)*(RawData!$D:$D="Total Equity Capital"),RawData!$F:$F)</f>
        <v>49200000</v>
      </c>
      <c r="F21" s="10" cm="1">
        <f t="array" ref="F21">_xlfn.XLOOKUP(1,(RawData!$A:$A=A21)*(RawData!$B:$B=B21)*(RawData!$D:$D="Total Loans (Gross)"),RawData!$F:$F)</f>
        <v>321700000</v>
      </c>
      <c r="G21" s="10">
        <f>SUMIFS(RawData!F:F, RawData!A:A,A21, RawData!B:B,B21, RawData!E:E,"RCON2200")</f>
        <v>417900000</v>
      </c>
      <c r="H21" s="10">
        <f>SUMIFS(RawData!F:F, RawData!A:A,A21, RawData!B:B,B21, RawData!E:E,"RIAD4074")</f>
        <v>14685000</v>
      </c>
      <c r="I21" s="10">
        <f>SUMIFS(RawData!F:F, RawData!A:A,A21, RawData!B:B,B21, RawData!E:E,"RIAD4079")</f>
        <v>4295000</v>
      </c>
      <c r="J21" s="10">
        <f>SUMIFS(RawData!F:F, RawData!A:A,A21, RawData!B:B,B21, RawData!E:E,"RIAD4093")</f>
        <v>10797000</v>
      </c>
      <c r="K21" s="11">
        <f t="shared" si="0"/>
        <v>9.3285238623751383E-3</v>
      </c>
      <c r="L21" s="11">
        <f t="shared" si="1"/>
        <v>0.10249999999999999</v>
      </c>
      <c r="M21" s="11">
        <f t="shared" si="2"/>
        <v>10.987804878048781</v>
      </c>
      <c r="N21" s="11">
        <f t="shared" si="3"/>
        <v>0.59507954125046247</v>
      </c>
      <c r="O21" s="11">
        <f t="shared" si="4"/>
        <v>0.76980138789184016</v>
      </c>
      <c r="P21" s="11">
        <f t="shared" si="5"/>
        <v>0.56886195995785038</v>
      </c>
    </row>
    <row r="22" spans="1:19" x14ac:dyDescent="0.2">
      <c r="A22" t="s">
        <v>97</v>
      </c>
      <c r="B22">
        <v>2023</v>
      </c>
      <c r="C22" s="10">
        <f>SUMIFS(RawData!F:F, RawData!A:A,A22, RawData!B:B,B22, RawData!E:E,"RIAD4340")</f>
        <v>4720000</v>
      </c>
      <c r="D22" s="10" cm="1">
        <f t="array" ref="D22">_xlfn.XLOOKUP(1,(RawData!$A:$A=A22)*(RawData!$B:$B=B22)*(RawData!$D:$D="Total Assets"),RawData!$F:$F)</f>
        <v>555400000</v>
      </c>
      <c r="E22" s="10" cm="1">
        <f t="array" ref="E22">_xlfn.XLOOKUP(1,(RawData!$A:$A=A22)*(RawData!$B:$B=B22)*(RawData!$D:$D="Total Equity Capital"),RawData!$F:$F)</f>
        <v>51700000</v>
      </c>
      <c r="F22" s="10" cm="1">
        <f t="array" ref="F22">_xlfn.XLOOKUP(1,(RawData!$A:$A=A22)*(RawData!$B:$B=B22)*(RawData!$D:$D="Total Loans (Gross)"),RawData!$F:$F)</f>
        <v>330900000</v>
      </c>
      <c r="G22" s="10">
        <f>SUMIFS(RawData!F:F, RawData!A:A,A22, RawData!B:B,B22, RawData!E:E,"RCON2200")</f>
        <v>425600000</v>
      </c>
      <c r="H22" s="10">
        <f>SUMIFS(RawData!F:F, RawData!A:A,A22, RawData!B:B,B22, RawData!E:E,"RIAD4074")</f>
        <v>15530000</v>
      </c>
      <c r="I22" s="10">
        <f>SUMIFS(RawData!F:F, RawData!A:A,A22, RawData!B:B,B22, RawData!E:E,"RIAD4079")</f>
        <v>5130000</v>
      </c>
      <c r="J22" s="10">
        <f>SUMIFS(RawData!F:F, RawData!A:A,A22, RawData!B:B,B22, RawData!E:E,"RIAD4093")</f>
        <v>11980000</v>
      </c>
      <c r="K22" s="11">
        <f t="shared" si="0"/>
        <v>8.498379546272956E-3</v>
      </c>
      <c r="L22" s="11">
        <f t="shared" si="1"/>
        <v>9.1295938104448748E-2</v>
      </c>
      <c r="M22" s="11">
        <f t="shared" si="2"/>
        <v>10.742746615087041</v>
      </c>
      <c r="N22" s="11">
        <f t="shared" si="3"/>
        <v>0.59578682030968666</v>
      </c>
      <c r="O22" s="11">
        <f t="shared" si="4"/>
        <v>0.77749060150375937</v>
      </c>
      <c r="P22" s="11">
        <f t="shared" si="5"/>
        <v>0.57986447241045502</v>
      </c>
    </row>
    <row r="23" spans="1:19" x14ac:dyDescent="0.2">
      <c r="A23" t="s">
        <v>97</v>
      </c>
      <c r="B23">
        <v>2022</v>
      </c>
      <c r="C23" s="10">
        <f>SUMIFS(RawData!F:F, RawData!A:A,A23, RawData!B:B,B23, RawData!E:E,"RIAD4340")</f>
        <v>5970000</v>
      </c>
      <c r="D23" s="10" cm="1">
        <f t="array" ref="D23">_xlfn.XLOOKUP(1,(RawData!$A:$A=A23)*(RawData!$B:$B=B23)*(RawData!$D:$D="Total Assets"),RawData!$F:$F)</f>
        <v>563900000</v>
      </c>
      <c r="E23" s="10" cm="1">
        <f t="array" ref="E23">_xlfn.XLOOKUP(1,(RawData!$A:$A=A23)*(RawData!$B:$B=B23)*(RawData!$D:$D="Total Equity Capital"),RawData!$F:$F)</f>
        <v>53700000</v>
      </c>
      <c r="F23" s="10" cm="1">
        <f t="array" ref="F23">_xlfn.XLOOKUP(1,(RawData!$A:$A=A23)*(RawData!$B:$B=B23)*(RawData!$D:$D="Total Loans (Gross)"),RawData!$F:$F)</f>
        <v>338100000</v>
      </c>
      <c r="G23" s="10">
        <f>SUMIFS(RawData!F:F, RawData!A:A,A23, RawData!B:B,B23, RawData!E:E,"RCON2200")</f>
        <v>435800000</v>
      </c>
      <c r="H23" s="10">
        <f>SUMIFS(RawData!F:F, RawData!A:A,A23, RawData!B:B,B23, RawData!E:E,"RIAD4074")</f>
        <v>16430000</v>
      </c>
      <c r="I23" s="10">
        <f>SUMIFS(RawData!F:F, RawData!A:A,A23, RawData!B:B,B23, RawData!E:E,"RIAD4079")</f>
        <v>5980000</v>
      </c>
      <c r="J23" s="10">
        <f>SUMIFS(RawData!F:F, RawData!A:A,A23, RawData!B:B,B23, RawData!E:E,"RIAD4093")</f>
        <v>12940000</v>
      </c>
      <c r="K23" s="11">
        <f t="shared" si="0"/>
        <v>1.0586983507714134E-2</v>
      </c>
      <c r="L23" s="11">
        <f t="shared" si="1"/>
        <v>0.11117318435754189</v>
      </c>
      <c r="M23" s="11">
        <f t="shared" si="2"/>
        <v>10.500931098696462</v>
      </c>
      <c r="N23" s="11">
        <f t="shared" si="3"/>
        <v>0.59957439262280543</v>
      </c>
      <c r="O23" s="11">
        <f t="shared" si="4"/>
        <v>0.77581459385039009</v>
      </c>
      <c r="P23" s="11">
        <f t="shared" si="5"/>
        <v>0.57742079428826421</v>
      </c>
    </row>
    <row r="24" spans="1:19" x14ac:dyDescent="0.2">
      <c r="A24" t="s">
        <v>97</v>
      </c>
      <c r="B24">
        <v>2021</v>
      </c>
      <c r="C24" s="10">
        <f>SUMIFS(RawData!F:F, RawData!A:A,A24, RawData!B:B,B24, RawData!E:E,"RIAD4340")</f>
        <v>5569000</v>
      </c>
      <c r="D24" s="10" cm="1">
        <f t="array" ref="D24">_xlfn.XLOOKUP(1,(RawData!$A:$A=A24)*(RawData!$B:$B=B24)*(RawData!$D:$D="Total Assets"),RawData!$F:$F)</f>
        <v>541200000</v>
      </c>
      <c r="E24" s="10" cm="1">
        <f t="array" ref="E24">_xlfn.XLOOKUP(1,(RawData!$A:$A=A24)*(RawData!$B:$B=B24)*(RawData!$D:$D="Total Equity Capital"),RawData!$F:$F)</f>
        <v>52100000</v>
      </c>
      <c r="F24" s="10" cm="1">
        <f t="array" ref="F24">_xlfn.XLOOKUP(1,(RawData!$A:$A=A24)*(RawData!$B:$B=B24)*(RawData!$D:$D="Total Loans (Gross)"),RawData!$F:$F)</f>
        <v>309400000</v>
      </c>
      <c r="G24" s="10">
        <f>SUMIFS(RawData!F:F, RawData!A:A,A24, RawData!B:B,B24, RawData!E:E,"RCON2200")</f>
        <v>428200000</v>
      </c>
      <c r="H24" s="10">
        <f>SUMIFS(RawData!F:F, RawData!A:A,A24, RawData!B:B,B24, RawData!E:E,"RIAD4074")</f>
        <v>12371000</v>
      </c>
      <c r="I24" s="10">
        <f>SUMIFS(RawData!F:F, RawData!A:A,A24, RawData!B:B,B24, RawData!E:E,"RIAD4079")</f>
        <v>7310000</v>
      </c>
      <c r="J24" s="10">
        <f>SUMIFS(RawData!F:F, RawData!A:A,A24, RawData!B:B,B24, RawData!E:E,"RIAD4093")</f>
        <v>13790000</v>
      </c>
      <c r="K24" s="11">
        <f t="shared" si="0"/>
        <v>1.029009608277901E-2</v>
      </c>
      <c r="L24" s="11">
        <f t="shared" si="1"/>
        <v>0.10689059500959693</v>
      </c>
      <c r="M24" s="11">
        <f t="shared" si="2"/>
        <v>10.387715930902111</v>
      </c>
      <c r="N24" s="11">
        <f t="shared" si="3"/>
        <v>0.57169253510716922</v>
      </c>
      <c r="O24" s="11">
        <f t="shared" si="4"/>
        <v>0.72255955161139651</v>
      </c>
      <c r="P24" s="11">
        <f t="shared" si="5"/>
        <v>0.70067577866978303</v>
      </c>
      <c r="R24" s="2" t="s">
        <v>109</v>
      </c>
    </row>
    <row r="25" spans="1:19" x14ac:dyDescent="0.2">
      <c r="A25" t="s">
        <v>97</v>
      </c>
      <c r="B25">
        <v>2020</v>
      </c>
      <c r="C25" s="10">
        <f>SUMIFS(RawData!F:F, RawData!A:A,A25, RawData!B:B,B25, RawData!E:E,"RIAD4340")</f>
        <v>1370000</v>
      </c>
      <c r="D25" s="10" cm="1">
        <f t="array" ref="D25">_xlfn.XLOOKUP(1,(RawData!$A:$A=A25)*(RawData!$B:$B=B25)*(RawData!$D:$D="Total Assets"),RawData!$F:$F)</f>
        <v>509300000</v>
      </c>
      <c r="E25" s="10" cm="1">
        <f t="array" ref="E25">_xlfn.XLOOKUP(1,(RawData!$A:$A=A25)*(RawData!$B:$B=B25)*(RawData!$D:$D="Total Equity Capital"),RawData!$F:$F)</f>
        <v>51300000</v>
      </c>
      <c r="F25" s="10" cm="1">
        <f t="array" ref="F25">_xlfn.XLOOKUP(1,(RawData!$A:$A=A25)*(RawData!$B:$B=B25)*(RawData!$D:$D="Total Loans (Gross)"),RawData!$F:$F)</f>
        <v>296800000</v>
      </c>
      <c r="G25" s="10">
        <f>SUMIFS(RawData!F:F, RawData!A:A,A25, RawData!B:B,B25, RawData!E:E,"RCON2200")</f>
        <v>392600000</v>
      </c>
      <c r="H25" s="10">
        <f>SUMIFS(RawData!F:F, RawData!A:A,A25, RawData!B:B,B25, RawData!E:E,"RIAD4074")</f>
        <v>12640000</v>
      </c>
      <c r="I25" s="10">
        <f>SUMIFS(RawData!F:F, RawData!A:A,A25, RawData!B:B,B25, RawData!E:E,"RIAD4079")</f>
        <v>6320000</v>
      </c>
      <c r="J25" s="10">
        <f>SUMIFS(RawData!F:F, RawData!A:A,A25, RawData!B:B,B25, RawData!E:E,"RIAD4093")</f>
        <v>14210000</v>
      </c>
      <c r="K25" s="11">
        <f t="shared" si="0"/>
        <v>2.6899666208521499E-3</v>
      </c>
      <c r="L25" s="11">
        <f t="shared" si="1"/>
        <v>2.6705653021442496E-2</v>
      </c>
      <c r="M25" s="11">
        <f t="shared" si="2"/>
        <v>9.9278752436647171</v>
      </c>
      <c r="N25" s="11">
        <f t="shared" si="3"/>
        <v>0.58276065187512271</v>
      </c>
      <c r="O25" s="11">
        <f t="shared" si="4"/>
        <v>0.75598573611818642</v>
      </c>
      <c r="P25" s="11">
        <f t="shared" si="5"/>
        <v>0.74947257383966248</v>
      </c>
      <c r="R25" s="12" t="str">
        <f>C1</f>
        <v>Net Income</v>
      </c>
      <c r="S25" t="str">
        <f ca="1">_xlfn.FORMULATEXT(C2)</f>
        <v>=SUMIFS(RawData!F:F, RawData!A:A,A2, RawData!B:B,B2, RawData!E:E,"RIAD4340")</v>
      </c>
    </row>
    <row r="26" spans="1:19" x14ac:dyDescent="0.2">
      <c r="A26" t="s">
        <v>100</v>
      </c>
      <c r="B26">
        <v>2025</v>
      </c>
      <c r="C26" s="10">
        <f>SUMIFS(RawData!F:F, RawData!A:A,A26, RawData!B:B,B26, RawData!E:E,"RIAD4340")</f>
        <v>96231</v>
      </c>
      <c r="D26" s="10" cm="1">
        <f t="array" ref="D26">_xlfn.XLOOKUP(1,(RawData!$A:$A=A26)*(RawData!$B:$B=B26)*(RawData!$D:$D="Total Assets"),RawData!$F:$F)</f>
        <v>6084536</v>
      </c>
      <c r="E26" s="10" cm="1">
        <f t="array" ref="E26">_xlfn.XLOOKUP(1,(RawData!$A:$A=A26)*(RawData!$B:$B=B26)*(RawData!$D:$D="Total Equity Capital"),RawData!$F:$F)</f>
        <v>624611</v>
      </c>
      <c r="F26" s="10" cm="1">
        <f t="array" ref="F26">_xlfn.XLOOKUP(1,(RawData!$A:$A=A26)*(RawData!$B:$B=B26)*(RawData!$D:$D="Total Loans (Gross)"),RawData!$F:$F)</f>
        <v>4221845</v>
      </c>
      <c r="G26" s="10">
        <f>SUMIFS(RawData!F:F, RawData!A:A,A26, RawData!B:B,B26, RawData!E:E,"RCON2200")</f>
        <v>5324770</v>
      </c>
      <c r="H26" s="10">
        <f>SUMIFS(RawData!F:F, RawData!A:A,A26, RawData!B:B,B26, RawData!E:E,"RIAD4074")</f>
        <v>221396</v>
      </c>
      <c r="I26" s="10">
        <f>SUMIFS(RawData!F:F, RawData!A:A,A26, RawData!B:B,B26, RawData!E:E,"RIAD4079")</f>
        <v>44791</v>
      </c>
      <c r="J26" s="10">
        <f>SUMIFS(RawData!F:F, RawData!A:A,A26, RawData!B:B,B26, RawData!E:E,"RIAD4093")</f>
        <v>128957</v>
      </c>
      <c r="K26" s="11">
        <f t="shared" si="0"/>
        <v>1.5815667784692209E-2</v>
      </c>
      <c r="L26" s="11">
        <f t="shared" si="1"/>
        <v>0.15406549036120082</v>
      </c>
      <c r="M26" s="11">
        <f t="shared" si="2"/>
        <v>9.7413205979401578</v>
      </c>
      <c r="N26" s="11">
        <f t="shared" si="3"/>
        <v>0.69386474169928491</v>
      </c>
      <c r="O26" s="11">
        <f t="shared" si="4"/>
        <v>0.7928689877684858</v>
      </c>
      <c r="P26" s="11">
        <f t="shared" si="5"/>
        <v>0.48446017273570835</v>
      </c>
      <c r="R26" s="12" t="str">
        <f>D1</f>
        <v>Total Assets</v>
      </c>
      <c r="S26" s="12" t="str">
        <f ca="1">_xlfn.FORMULATEXT(D2)</f>
        <v>=XLOOKUP(1,(RawData!$A:$A=A2)*(RawData!$B:$B=B2)*(RawData!$D:$D="Total Assets"),RawData!$F:$F)</v>
      </c>
    </row>
    <row r="27" spans="1:19" x14ac:dyDescent="0.2">
      <c r="A27" t="s">
        <v>100</v>
      </c>
      <c r="B27">
        <v>2024</v>
      </c>
      <c r="C27" s="10">
        <f>SUMIFS(RawData!F:F, RawData!A:A,A27, RawData!B:B,B27, RawData!E:E,"RIAD4340")</f>
        <v>91884</v>
      </c>
      <c r="D27" s="10" cm="1">
        <f t="array" ref="D27">_xlfn.XLOOKUP(1,(RawData!$A:$A=A27)*(RawData!$B:$B=B27)*(RawData!$D:$D="Total Assets"),RawData!$F:$F)</f>
        <v>5987219</v>
      </c>
      <c r="E27" s="10" cm="1">
        <f t="array" ref="E27">_xlfn.XLOOKUP(1,(RawData!$A:$A=A27)*(RawData!$B:$B=B27)*(RawData!$D:$D="Total Equity Capital"),RawData!$F:$F)</f>
        <v>596802</v>
      </c>
      <c r="F27" s="10" cm="1">
        <f t="array" ref="F27">_xlfn.XLOOKUP(1,(RawData!$A:$A=A27)*(RawData!$B:$B=B27)*(RawData!$D:$D="Total Loans (Gross)"),RawData!$F:$F)</f>
        <v>4082456</v>
      </c>
      <c r="G27" s="10">
        <f>SUMIFS(RawData!F:F, RawData!A:A,A27, RawData!B:B,B27, RawData!E:E,"RCON2200")</f>
        <v>5216093</v>
      </c>
      <c r="H27" s="10">
        <f>SUMIFS(RawData!F:F, RawData!A:A,A27, RawData!B:B,B27, RawData!E:E,"RIAD4074")</f>
        <v>214772</v>
      </c>
      <c r="I27" s="10">
        <f>SUMIFS(RawData!F:F, RawData!A:A,A27, RawData!B:B,B27, RawData!E:E,"RIAD4079")</f>
        <v>43266</v>
      </c>
      <c r="J27" s="10">
        <f>SUMIFS(RawData!F:F, RawData!A:A,A27, RawData!B:B,B27, RawData!E:E,"RIAD4093")</f>
        <v>124508</v>
      </c>
      <c r="K27" s="11">
        <f t="shared" si="0"/>
        <v>1.5346691009632351E-2</v>
      </c>
      <c r="L27" s="11">
        <f t="shared" si="1"/>
        <v>0.15396061005157488</v>
      </c>
      <c r="M27" s="11">
        <f t="shared" si="2"/>
        <v>10.032169798358584</v>
      </c>
      <c r="N27" s="11">
        <f t="shared" si="3"/>
        <v>0.68186181263788748</v>
      </c>
      <c r="O27" s="11">
        <f t="shared" si="4"/>
        <v>0.78266549311908362</v>
      </c>
      <c r="P27" s="11">
        <f t="shared" si="5"/>
        <v>0.48251807873258978</v>
      </c>
      <c r="R27" s="12" t="str">
        <f>E1</f>
        <v>Equity</v>
      </c>
      <c r="S27" t="str">
        <f ca="1">_xlfn.FORMULATEXT(E2)</f>
        <v>=XLOOKUP(1,(RawData!$A:$A=A2)*(RawData!$B:$B=B2)*(RawData!$D:$D="Total Equity Capital"),RawData!$F:$F)</v>
      </c>
    </row>
    <row r="28" spans="1:19" x14ac:dyDescent="0.2">
      <c r="A28" t="s">
        <v>100</v>
      </c>
      <c r="B28">
        <v>2023</v>
      </c>
      <c r="C28" s="10">
        <f>SUMIFS(RawData!F:F, RawData!A:A,A28, RawData!B:B,B28, RawData!E:E,"RIAD4340")</f>
        <v>88021</v>
      </c>
      <c r="D28" s="10" cm="1">
        <f t="array" ref="D28">_xlfn.XLOOKUP(1,(RawData!$A:$A=A28)*(RawData!$B:$B=B28)*(RawData!$D:$D="Total Assets"),RawData!$F:$F)</f>
        <v>5742390</v>
      </c>
      <c r="E28" s="10" cm="1">
        <f t="array" ref="E28">_xlfn.XLOOKUP(1,(RawData!$A:$A=A28)*(RawData!$B:$B=B28)*(RawData!$D:$D="Total Equity Capital"),RawData!$F:$F)</f>
        <v>570384</v>
      </c>
      <c r="F28" s="10" cm="1">
        <f t="array" ref="F28">_xlfn.XLOOKUP(1,(RawData!$A:$A=A28)*(RawData!$B:$B=B28)*(RawData!$D:$D="Total Loans (Gross)"),RawData!$F:$F)</f>
        <v>3884772</v>
      </c>
      <c r="G28" s="10">
        <f>SUMIFS(RawData!F:F, RawData!A:A,A28, RawData!B:B,B28, RawData!E:E,"RCON2200")</f>
        <v>4989551</v>
      </c>
      <c r="H28" s="10">
        <f>SUMIFS(RawData!F:F, RawData!A:A,A28, RawData!B:B,B28, RawData!E:E,"RIAD4074")</f>
        <v>198654</v>
      </c>
      <c r="I28" s="10">
        <f>SUMIFS(RawData!F:F, RawData!A:A,A28, RawData!B:B,B28, RawData!E:E,"RIAD4079")</f>
        <v>42118</v>
      </c>
      <c r="J28" s="10">
        <f>SUMIFS(RawData!F:F, RawData!A:A,A28, RawData!B:B,B28, RawData!E:E,"RIAD4093")</f>
        <v>120442</v>
      </c>
      <c r="K28" s="11">
        <f t="shared" si="0"/>
        <v>1.5328286654163163E-2</v>
      </c>
      <c r="L28" s="11">
        <f t="shared" si="1"/>
        <v>0.15431884484838285</v>
      </c>
      <c r="M28" s="11">
        <f t="shared" si="2"/>
        <v>10.067586047294455</v>
      </c>
      <c r="N28" s="11">
        <f t="shared" si="3"/>
        <v>0.67650786519201933</v>
      </c>
      <c r="O28" s="11">
        <f t="shared" si="4"/>
        <v>0.77858147957601798</v>
      </c>
      <c r="P28" s="11">
        <f t="shared" si="5"/>
        <v>0.50023258518432379</v>
      </c>
      <c r="R28" s="12" t="str">
        <f>F1</f>
        <v>Loans</v>
      </c>
      <c r="S28" t="str">
        <f ca="1">_xlfn.FORMULATEXT(F2)</f>
        <v>=XLOOKUP(1,(RawData!$A:$A=A2)*(RawData!$B:$B=B2)*(RawData!$D:$D="Total Loans (Gross)"),RawData!$F:$F)</v>
      </c>
    </row>
    <row r="29" spans="1:19" x14ac:dyDescent="0.2">
      <c r="A29" t="s">
        <v>100</v>
      </c>
      <c r="B29">
        <v>2022</v>
      </c>
      <c r="C29" s="10">
        <f>SUMIFS(RawData!F:F, RawData!A:A,A29, RawData!B:B,B29, RawData!E:E,"RIAD4340")</f>
        <v>84215</v>
      </c>
      <c r="D29" s="10" cm="1">
        <f t="array" ref="D29">_xlfn.XLOOKUP(1,(RawData!$A:$A=A29)*(RawData!$B:$B=B29)*(RawData!$D:$D="Total Assets"),RawData!$F:$F)</f>
        <v>5431278</v>
      </c>
      <c r="E29" s="10" cm="1">
        <f t="array" ref="E29">_xlfn.XLOOKUP(1,(RawData!$A:$A=A29)*(RawData!$B:$B=B29)*(RawData!$D:$D="Total Equity Capital"),RawData!$F:$F)</f>
        <v>541603</v>
      </c>
      <c r="F29" s="10" cm="1">
        <f t="array" ref="F29">_xlfn.XLOOKUP(1,(RawData!$A:$A=A29)*(RawData!$B:$B=B29)*(RawData!$D:$D="Total Loans (Gross)"),RawData!$F:$F)</f>
        <v>3650842</v>
      </c>
      <c r="G29" s="10">
        <f>SUMIFS(RawData!F:F, RawData!A:A,A29, RawData!B:B,B29, RawData!E:E,"RCON2200")</f>
        <v>4723615</v>
      </c>
      <c r="H29" s="10">
        <f>SUMIFS(RawData!F:F, RawData!A:A,A29, RawData!B:B,B29, RawData!E:E,"RIAD4074")</f>
        <v>182307</v>
      </c>
      <c r="I29" s="10">
        <f>SUMIFS(RawData!F:F, RawData!A:A,A29, RawData!B:B,B29, RawData!E:E,"RIAD4079")</f>
        <v>40985</v>
      </c>
      <c r="J29" s="10">
        <f>SUMIFS(RawData!F:F, RawData!A:A,A29, RawData!B:B,B29, RawData!E:E,"RIAD4093")</f>
        <v>116770</v>
      </c>
      <c r="K29" s="11">
        <f t="shared" si="0"/>
        <v>1.5505558728534978E-2</v>
      </c>
      <c r="L29" s="11">
        <f t="shared" si="1"/>
        <v>0.15549212245870131</v>
      </c>
      <c r="M29" s="11">
        <f t="shared" si="2"/>
        <v>10.028153462960876</v>
      </c>
      <c r="N29" s="11">
        <f t="shared" si="3"/>
        <v>0.67218838733719766</v>
      </c>
      <c r="O29" s="11">
        <f t="shared" si="4"/>
        <v>0.77289152481732737</v>
      </c>
      <c r="P29" s="11">
        <f t="shared" si="5"/>
        <v>0.52294753058775056</v>
      </c>
      <c r="R29" s="12" t="str">
        <f>G1</f>
        <v>Deposits</v>
      </c>
      <c r="S29" t="str">
        <f ca="1">_xlfn.FORMULATEXT(G2)</f>
        <v>=SUMIFS(RawData!F:F, RawData!A:A,A2, RawData!B:B,B2, RawData!E:E,"RCON2200")</v>
      </c>
    </row>
    <row r="30" spans="1:19" x14ac:dyDescent="0.2">
      <c r="A30" t="s">
        <v>100</v>
      </c>
      <c r="B30">
        <v>2021</v>
      </c>
      <c r="C30" s="10">
        <f>SUMIFS(RawData!F:F, RawData!A:A,A30, RawData!B:B,B30, RawData!E:E,"RIAD4340")</f>
        <v>74802</v>
      </c>
      <c r="D30" s="10" cm="1">
        <f t="array" ref="D30">_xlfn.XLOOKUP(1,(RawData!$A:$A=A30)*(RawData!$B:$B=B30)*(RawData!$D:$D="Total Assets"),RawData!$F:$F)</f>
        <v>5201643</v>
      </c>
      <c r="E30" s="10" cm="1">
        <f t="array" ref="E30">_xlfn.XLOOKUP(1,(RawData!$A:$A=A30)*(RawData!$B:$B=B30)*(RawData!$D:$D="Total Equity Capital"),RawData!$F:$F)</f>
        <v>517486</v>
      </c>
      <c r="F30" s="10" cm="1">
        <f t="array" ref="F30">_xlfn.XLOOKUP(1,(RawData!$A:$A=A30)*(RawData!$B:$B=B30)*(RawData!$D:$D="Total Loans (Gross)"),RawData!$F:$F)</f>
        <v>3492715</v>
      </c>
      <c r="G30" s="10">
        <f>SUMIFS(RawData!F:F, RawData!A:A,A30, RawData!B:B,B30, RawData!E:E,"RCON2200")</f>
        <v>4524118</v>
      </c>
      <c r="H30" s="10">
        <f>SUMIFS(RawData!F:F, RawData!A:A,A30, RawData!B:B,B30, RawData!E:E,"RIAD4074")</f>
        <v>170944</v>
      </c>
      <c r="I30" s="10">
        <f>SUMIFS(RawData!F:F, RawData!A:A,A30, RawData!B:B,B30, RawData!E:E,"RIAD4079")</f>
        <v>39517</v>
      </c>
      <c r="J30" s="10">
        <f>SUMIFS(RawData!F:F, RawData!A:A,A30, RawData!B:B,B30, RawData!E:E,"RIAD4093")</f>
        <v>112084</v>
      </c>
      <c r="K30" s="11">
        <f t="shared" si="0"/>
        <v>1.4380456328894543E-2</v>
      </c>
      <c r="L30" s="11">
        <f t="shared" si="1"/>
        <v>0.14454883803619809</v>
      </c>
      <c r="M30" s="11">
        <f t="shared" si="2"/>
        <v>10.051755989534016</v>
      </c>
      <c r="N30" s="11">
        <f t="shared" si="3"/>
        <v>0.67146380480167511</v>
      </c>
      <c r="O30" s="11">
        <f t="shared" si="4"/>
        <v>0.77202119838607219</v>
      </c>
      <c r="P30" s="11">
        <f t="shared" si="5"/>
        <v>0.53256422805175307</v>
      </c>
      <c r="R30" s="12" t="str">
        <f>H1</f>
        <v>NII</v>
      </c>
      <c r="S30" t="str">
        <f ca="1">_xlfn.FORMULATEXT(H2)</f>
        <v>=SUMIFS(RawData!F:F, RawData!A:A,A2, RawData!B:B,B2, RawData!E:E,"RIAD4074")</v>
      </c>
    </row>
    <row r="31" spans="1:19" x14ac:dyDescent="0.2">
      <c r="A31" t="s">
        <v>100</v>
      </c>
      <c r="B31">
        <v>2020</v>
      </c>
      <c r="C31" s="10">
        <f>SUMIFS(RawData!F:F, RawData!A:A,A31, RawData!B:B,B31, RawData!E:E,"RIAD4340")</f>
        <v>60471</v>
      </c>
      <c r="D31" s="10" cm="1">
        <f t="array" ref="D31">_xlfn.XLOOKUP(1,(RawData!$A:$A=A31)*(RawData!$B:$B=B31)*(RawData!$D:$D="Total Assets"),RawData!$F:$F)</f>
        <v>4986734</v>
      </c>
      <c r="E31" s="10" cm="1">
        <f t="array" ref="E31">_xlfn.XLOOKUP(1,(RawData!$A:$A=A31)*(RawData!$B:$B=B31)*(RawData!$D:$D="Total Equity Capital"),RawData!$F:$F)</f>
        <v>493772</v>
      </c>
      <c r="F31" s="10" cm="1">
        <f t="array" ref="F31">_xlfn.XLOOKUP(1,(RawData!$A:$A=A31)*(RawData!$B:$B=B31)*(RawData!$D:$D="Total Loans (Gross)"),RawData!$F:$F)</f>
        <v>3347980</v>
      </c>
      <c r="G31" s="10">
        <f>SUMIFS(RawData!F:F, RawData!A:A,A31, RawData!B:B,B31, RawData!E:E,"RCON2200")</f>
        <v>4321569</v>
      </c>
      <c r="H31" s="10">
        <f>SUMIFS(RawData!F:F, RawData!A:A,A31, RawData!B:B,B31, RawData!E:E,"RIAD4074")</f>
        <v>162308</v>
      </c>
      <c r="I31" s="10">
        <f>SUMIFS(RawData!F:F, RawData!A:A,A31, RawData!B:B,B31, RawData!E:E,"RIAD4079")</f>
        <v>37904</v>
      </c>
      <c r="J31" s="10">
        <f>SUMIFS(RawData!F:F, RawData!A:A,A31, RawData!B:B,B31, RawData!E:E,"RIAD4093")</f>
        <v>108556</v>
      </c>
      <c r="K31" s="11">
        <f t="shared" si="0"/>
        <v>1.2126373694686743E-2</v>
      </c>
      <c r="L31" s="11">
        <f t="shared" si="1"/>
        <v>0.12246745461468046</v>
      </c>
      <c r="M31" s="11">
        <f t="shared" si="2"/>
        <v>10.099264437837707</v>
      </c>
      <c r="N31" s="11">
        <f t="shared" si="3"/>
        <v>0.67137729824771086</v>
      </c>
      <c r="O31" s="11">
        <f t="shared" si="4"/>
        <v>0.77471399855006362</v>
      </c>
      <c r="P31" s="11">
        <f t="shared" si="5"/>
        <v>0.54220526242183287</v>
      </c>
      <c r="R31" s="12" t="str">
        <f>I1</f>
        <v>Noninterest Income</v>
      </c>
      <c r="S31" t="str">
        <f ca="1">_xlfn.FORMULATEXT(I2)</f>
        <v>=SUMIFS(RawData!F:F, RawData!A:A,A2, RawData!B:B,B2, RawData!E:E,"RIAD4079")</v>
      </c>
    </row>
    <row r="32" spans="1:19" x14ac:dyDescent="0.2">
      <c r="A32" t="s">
        <v>110</v>
      </c>
      <c r="B32">
        <v>2025</v>
      </c>
      <c r="C32" s="10">
        <f>SUMIFS(RawData!F:F, RawData!A:A,A32, RawData!B:B,B32, RawData!E:E,"RIAD4340")</f>
        <v>197571</v>
      </c>
      <c r="D32" s="10" cm="1">
        <f t="array" ref="D32">_xlfn.XLOOKUP(1,(RawData!$A:$A=A32)*(RawData!$B:$B=B32)*(RawData!$D:$D="Total Assets"),RawData!$F:$F)</f>
        <v>20640447</v>
      </c>
      <c r="E32" s="10" cm="1">
        <f t="array" ref="E32">_xlfn.XLOOKUP(1,(RawData!$A:$A=A32)*(RawData!$B:$B=B32)*(RawData!$D:$D="Total Equity Capital"),RawData!$F:$F)</f>
        <v>2089063</v>
      </c>
      <c r="F32" s="10" cm="1">
        <f t="array" ref="F32">_xlfn.XLOOKUP(1,(RawData!$A:$A=A32)*(RawData!$B:$B=B32)*(RawData!$D:$D="Total Loans (Gross)"),RawData!$F:$F)</f>
        <v>16701337</v>
      </c>
      <c r="G32" s="10">
        <f>SUMIFS(RawData!F:F, RawData!A:A,A32, RawData!B:B,B32, RawData!E:E,"RCON2200")</f>
        <v>17864287</v>
      </c>
      <c r="H32" s="10">
        <f>SUMIFS(RawData!F:F, RawData!A:A,A32, RawData!B:B,B32, RawData!E:E,"RIAD4074")</f>
        <v>575302</v>
      </c>
      <c r="I32" s="10">
        <f>SUMIFS(RawData!F:F, RawData!A:A,A32, RawData!B:B,B32, RawData!E:E,"RIAD4079")</f>
        <v>120908</v>
      </c>
      <c r="J32" s="10">
        <f>SUMIFS(RawData!F:F, RawData!A:A,A32, RawData!B:B,B32, RawData!E:E,"RIAD4093")</f>
        <v>405586</v>
      </c>
      <c r="K32" s="11">
        <f t="shared" si="0"/>
        <v>9.5720310708387272E-3</v>
      </c>
      <c r="L32" s="11">
        <f t="shared" si="1"/>
        <v>9.4573978860379035E-2</v>
      </c>
      <c r="M32" s="11">
        <f t="shared" si="2"/>
        <v>9.8802415245495236</v>
      </c>
      <c r="N32" s="11">
        <f t="shared" si="3"/>
        <v>0.80915578039564739</v>
      </c>
      <c r="O32" s="11">
        <f t="shared" si="4"/>
        <v>0.93490084434939946</v>
      </c>
      <c r="P32" s="11">
        <f t="shared" si="5"/>
        <v>0.58256273250886947</v>
      </c>
      <c r="R32" s="12" t="str">
        <f>J1</f>
        <v>Noninterest Expense</v>
      </c>
      <c r="S32" t="str">
        <f ca="1">_xlfn.FORMULATEXT(J2)</f>
        <v>=SUMIFS(RawData!F:F, RawData!A:A,A2, RawData!B:B,B2, RawData!E:E,"RIAD4093")</v>
      </c>
    </row>
    <row r="33" spans="1:19" x14ac:dyDescent="0.2">
      <c r="A33" t="s">
        <v>110</v>
      </c>
      <c r="B33">
        <v>2024</v>
      </c>
      <c r="C33" s="10">
        <f>SUMIFS(RawData!F:F, RawData!A:A,A33, RawData!B:B,B33, RawData!E:E,"RIAD4340")</f>
        <v>178520</v>
      </c>
      <c r="D33" s="10" cm="1">
        <f t="array" ref="D33">_xlfn.XLOOKUP(1,(RawData!$A:$A=A33)*(RawData!$B:$B=B33)*(RawData!$D:$D="Total Assets"),RawData!$F:$F)</f>
        <v>19988312</v>
      </c>
      <c r="E33" s="10" cm="1">
        <f t="array" ref="E33">_xlfn.XLOOKUP(1,(RawData!$A:$A=A33)*(RawData!$B:$B=B33)*(RawData!$D:$D="Total Equity Capital"),RawData!$F:$F)</f>
        <v>2001488</v>
      </c>
      <c r="F33" s="10" cm="1">
        <f t="array" ref="F33">_xlfn.XLOOKUP(1,(RawData!$A:$A=A33)*(RawData!$B:$B=B33)*(RawData!$D:$D="Total Loans (Gross)"),RawData!$F:$F)</f>
        <v>16184905</v>
      </c>
      <c r="G33" s="10">
        <f>SUMIFS(RawData!F:F, RawData!A:A,A33, RawData!B:B,B33, RawData!E:E,"RCON2200")</f>
        <v>17302881</v>
      </c>
      <c r="H33" s="10">
        <f>SUMIFS(RawData!F:F, RawData!A:A,A33, RawData!B:B,B33, RawData!E:E,"RIAD4074")</f>
        <v>553481</v>
      </c>
      <c r="I33" s="10">
        <f>SUMIFS(RawData!F:F, RawData!A:A,A33, RawData!B:B,B33, RawData!E:E,"RIAD4079")</f>
        <v>118244</v>
      </c>
      <c r="J33" s="10">
        <f>SUMIFS(RawData!F:F, RawData!A:A,A33, RawData!B:B,B33, RawData!E:E,"RIAD4093")</f>
        <v>394872</v>
      </c>
      <c r="K33" s="11">
        <f t="shared" si="0"/>
        <v>8.9312194046200603E-3</v>
      </c>
      <c r="L33" s="11">
        <f t="shared" si="1"/>
        <v>8.9193639931890667E-2</v>
      </c>
      <c r="M33" s="11">
        <f t="shared" si="2"/>
        <v>9.9867258759482951</v>
      </c>
      <c r="N33" s="11">
        <f t="shared" si="3"/>
        <v>0.80971844946186555</v>
      </c>
      <c r="O33" s="11">
        <f t="shared" si="4"/>
        <v>0.93538786980041067</v>
      </c>
      <c r="P33" s="11">
        <f t="shared" si="5"/>
        <v>0.5878477055342588</v>
      </c>
      <c r="R33" s="12" t="str">
        <f>K1</f>
        <v>ROA</v>
      </c>
      <c r="S33" t="str">
        <f ca="1">_xlfn.FORMULATEXT(K2)</f>
        <v>=C2/D2</v>
      </c>
    </row>
    <row r="34" spans="1:19" x14ac:dyDescent="0.2">
      <c r="A34" t="s">
        <v>110</v>
      </c>
      <c r="B34">
        <v>2023</v>
      </c>
      <c r="C34" s="10">
        <f>SUMIFS(RawData!F:F, RawData!A:A,A34, RawData!B:B,B34, RawData!E:E,"RIAD4340")</f>
        <v>246572</v>
      </c>
      <c r="D34" s="10" cm="1">
        <f t="array" ref="D34">_xlfn.XLOOKUP(1,(RawData!$A:$A=A34)*(RawData!$B:$B=B34)*(RawData!$D:$D="Total Assets"),RawData!$F:$F)</f>
        <v>19352632</v>
      </c>
      <c r="E34" s="10" cm="1">
        <f t="array" ref="E34">_xlfn.XLOOKUP(1,(RawData!$A:$A=A34)*(RawData!$B:$B=B34)*(RawData!$D:$D="Total Equity Capital"),RawData!$F:$F)</f>
        <v>2920804</v>
      </c>
      <c r="F34" s="10" cm="1">
        <f t="array" ref="F34">_xlfn.XLOOKUP(1,(RawData!$A:$A=A34)*(RawData!$B:$B=B34)*(RawData!$D:$D="Total Loans (Gross)"),RawData!$F:$F)</f>
        <v>14284438</v>
      </c>
      <c r="G34" s="10">
        <f>SUMIFS(RawData!F:F, RawData!A:A,A34, RawData!B:B,B34, RawData!E:E,"RCON2200")</f>
        <v>14979650</v>
      </c>
      <c r="H34" s="10">
        <f>SUMIFS(RawData!F:F, RawData!A:A,A34, RawData!B:B,B34, RawData!E:E,"RIAD4074")</f>
        <v>621040</v>
      </c>
      <c r="I34" s="10">
        <f>SUMIFS(RawData!F:F, RawData!A:A,A34, RawData!B:B,B34, RawData!E:E,"RIAD4079")</f>
        <v>118373</v>
      </c>
      <c r="J34" s="10">
        <f>SUMIFS(RawData!F:F, RawData!A:A,A34, RawData!B:B,B34, RawData!E:E,"RIAD4093")</f>
        <v>392154</v>
      </c>
      <c r="K34" s="11">
        <f t="shared" si="0"/>
        <v>1.2741005977894893E-2</v>
      </c>
      <c r="L34" s="11">
        <f t="shared" si="1"/>
        <v>8.4419221556804216E-2</v>
      </c>
      <c r="M34" s="11">
        <f t="shared" si="2"/>
        <v>6.625789337456399</v>
      </c>
      <c r="N34" s="11">
        <f t="shared" si="3"/>
        <v>0.73811345144164375</v>
      </c>
      <c r="O34" s="11">
        <f t="shared" si="4"/>
        <v>0.95358956984976284</v>
      </c>
      <c r="P34" s="11">
        <f t="shared" si="5"/>
        <v>0.53035854116711501</v>
      </c>
      <c r="R34" s="12" t="str">
        <f>L1</f>
        <v>ROE</v>
      </c>
      <c r="S34" t="str">
        <f ca="1">_xlfn.FORMULATEXT(L2)</f>
        <v>=C2/E2</v>
      </c>
    </row>
    <row r="35" spans="1:19" x14ac:dyDescent="0.2">
      <c r="A35" t="s">
        <v>110</v>
      </c>
      <c r="B35">
        <v>2022</v>
      </c>
      <c r="C35" s="10">
        <f>SUMIFS(RawData!F:F, RawData!A:A,A35, RawData!B:B,B35, RawData!E:E,"RIAD4340")</f>
        <v>268324</v>
      </c>
      <c r="D35" s="10" cm="1">
        <f t="array" ref="D35">_xlfn.XLOOKUP(1,(RawData!$A:$A=A35)*(RawData!$B:$B=B35)*(RawData!$D:$D="Total Assets"),RawData!$F:$F)</f>
        <v>18535579</v>
      </c>
      <c r="E35" s="10" cm="1">
        <f t="array" ref="E35">_xlfn.XLOOKUP(1,(RawData!$A:$A=A35)*(RawData!$B:$B=B35)*(RawData!$D:$D="Total Equity Capital"),RawData!$F:$F)</f>
        <v>2848513</v>
      </c>
      <c r="F35" s="10" cm="1">
        <f t="array" ref="F35">_xlfn.XLOOKUP(1,(RawData!$A:$A=A35)*(RawData!$B:$B=B35)*(RawData!$D:$D="Total Loans (Gross)"),RawData!$F:$F)</f>
        <v>13747919</v>
      </c>
      <c r="G35" s="10">
        <f>SUMIFS(RawData!F:F, RawData!A:A,A35, RawData!B:B,B35, RawData!E:E,"RCON2200")</f>
        <v>15356636</v>
      </c>
      <c r="H35" s="10">
        <f>SUMIFS(RawData!F:F, RawData!A:A,A35, RawData!B:B,B35, RawData!E:E,"RIAD4074")</f>
        <v>553959</v>
      </c>
      <c r="I35" s="10">
        <f>SUMIFS(RawData!F:F, RawData!A:A,A35, RawData!B:B,B35, RawData!E:E,"RIAD4079")</f>
        <v>102074</v>
      </c>
      <c r="J35" s="10">
        <f>SUMIFS(RawData!F:F, RawData!A:A,A35, RawData!B:B,B35, RawData!E:E,"RIAD4093")</f>
        <v>404241</v>
      </c>
      <c r="K35" s="11">
        <f t="shared" si="0"/>
        <v>1.4476159606344102E-2</v>
      </c>
      <c r="L35" s="11">
        <f t="shared" si="1"/>
        <v>9.4197920107789573E-2</v>
      </c>
      <c r="M35" s="11">
        <f t="shared" si="2"/>
        <v>6.5071070414633878</v>
      </c>
      <c r="N35" s="11">
        <f t="shared" si="3"/>
        <v>0.74170431902882561</v>
      </c>
      <c r="O35" s="11">
        <f t="shared" si="4"/>
        <v>0.89524287741143305</v>
      </c>
      <c r="P35" s="11">
        <f t="shared" si="5"/>
        <v>0.61619003922058802</v>
      </c>
      <c r="R35" s="12" t="str">
        <f>M1</f>
        <v>Equity Multiplier</v>
      </c>
      <c r="S35" t="str">
        <f ca="1">_xlfn.FORMULATEXT(M2)</f>
        <v>=D2/E2</v>
      </c>
    </row>
    <row r="36" spans="1:19" x14ac:dyDescent="0.2">
      <c r="A36" t="s">
        <v>110</v>
      </c>
      <c r="B36">
        <v>2021</v>
      </c>
      <c r="C36" s="10">
        <f>SUMIFS(RawData!F:F, RawData!A:A,A36, RawData!B:B,B36, RawData!E:E,"RIAD4340")</f>
        <v>189884</v>
      </c>
      <c r="D36" s="10" cm="1">
        <f t="array" ref="D36">_xlfn.XLOOKUP(1,(RawData!$A:$A=A36)*(RawData!$B:$B=B36)*(RawData!$D:$D="Total Assets"),RawData!$F:$F)</f>
        <v>18039393</v>
      </c>
      <c r="E36" s="10" cm="1">
        <f t="array" ref="E36">_xlfn.XLOOKUP(1,(RawData!$A:$A=A36)*(RawData!$B:$B=B36)*(RawData!$D:$D="Total Equity Capital"),RawData!$F:$F)</f>
        <v>2685880</v>
      </c>
      <c r="F36" s="10" cm="1">
        <f t="array" ref="F36">_xlfn.XLOOKUP(1,(RawData!$A:$A=A36)*(RawData!$B:$B=B36)*(RawData!$D:$D="Total Loans (Gross)"),RawData!$F:$F)</f>
        <v>12602765</v>
      </c>
      <c r="G36" s="10">
        <f>SUMIFS(RawData!F:F, RawData!A:A,A36, RawData!B:B,B36, RawData!E:E,"RCON2200")</f>
        <v>15212141</v>
      </c>
      <c r="H36" s="10">
        <f>SUMIFS(RawData!F:F, RawData!A:A,A36, RawData!B:B,B36, RawData!E:E,"RIAD4074")</f>
        <v>500528</v>
      </c>
      <c r="I36" s="10">
        <f>SUMIFS(RawData!F:F, RawData!A:A,A36, RawData!B:B,B36, RawData!E:E,"RIAD4079")</f>
        <v>115946</v>
      </c>
      <c r="J36" s="10">
        <f>SUMIFS(RawData!F:F, RawData!A:A,A36, RawData!B:B,B36, RawData!E:E,"RIAD4093")</f>
        <v>395734</v>
      </c>
      <c r="K36" s="11">
        <f t="shared" si="0"/>
        <v>1.0526074796419147E-2</v>
      </c>
      <c r="L36" s="11">
        <f t="shared" si="1"/>
        <v>7.0697127198534562E-2</v>
      </c>
      <c r="M36" s="11">
        <f t="shared" si="2"/>
        <v>6.7163808509687701</v>
      </c>
      <c r="N36" s="11">
        <f t="shared" si="3"/>
        <v>0.69862467101858694</v>
      </c>
      <c r="O36" s="11">
        <f t="shared" si="4"/>
        <v>0.82846753786991589</v>
      </c>
      <c r="P36" s="11">
        <f t="shared" si="5"/>
        <v>0.64193137099050401</v>
      </c>
      <c r="R36" s="12" t="str">
        <f>N1</f>
        <v>Loan/Asset</v>
      </c>
      <c r="S36" t="str">
        <f ca="1">_xlfn.FORMULATEXT(N2)</f>
        <v>=F2/D2</v>
      </c>
    </row>
    <row r="37" spans="1:19" x14ac:dyDescent="0.2">
      <c r="A37" t="s">
        <v>110</v>
      </c>
      <c r="B37">
        <v>2020</v>
      </c>
      <c r="C37" s="10">
        <f>SUMIFS(RawData!F:F, RawData!A:A,A37, RawData!B:B,B37, RawData!E:E,"RIAD4340")</f>
        <v>129857</v>
      </c>
      <c r="D37" s="10" cm="1">
        <f t="array" ref="D37">_xlfn.XLOOKUP(1,(RawData!$A:$A=A37)*(RawData!$B:$B=B37)*(RawData!$D:$D="Total Assets"),RawData!$F:$F)</f>
        <v>17003476</v>
      </c>
      <c r="E37" s="10" cm="1">
        <f t="array" ref="E37">_xlfn.XLOOKUP(1,(RawData!$A:$A=A37)*(RawData!$B:$B=B37)*(RawData!$D:$D="Total Equity Capital"),RawData!$F:$F)</f>
        <v>2470655</v>
      </c>
      <c r="F37" s="10" cm="1">
        <f t="array" ref="F37">_xlfn.XLOOKUP(1,(RawData!$A:$A=A37)*(RawData!$B:$B=B37)*(RawData!$D:$D="Total Loans (Gross)"),RawData!$F:$F)</f>
        <v>12368770</v>
      </c>
      <c r="G37" s="10">
        <f>SUMIFS(RawData!F:F, RawData!A:A,A37, RawData!B:B,B37, RawData!E:E,"RCON2200")</f>
        <v>14231087</v>
      </c>
      <c r="H37" s="10">
        <f>SUMIFS(RawData!F:F, RawData!A:A,A37, RawData!B:B,B37, RawData!E:E,"RIAD4074")</f>
        <v>477880</v>
      </c>
      <c r="I37" s="10">
        <f>SUMIFS(RawData!F:F, RawData!A:A,A37, RawData!B:B,B37, RawData!E:E,"RIAD4079")</f>
        <v>112642</v>
      </c>
      <c r="J37" s="10">
        <f>SUMIFS(RawData!F:F, RawData!A:A,A37, RawData!B:B,B37, RawData!E:E,"RIAD4093")</f>
        <v>378436</v>
      </c>
      <c r="K37" s="11">
        <f t="shared" si="0"/>
        <v>7.6370854994590514E-3</v>
      </c>
      <c r="L37" s="11">
        <f t="shared" si="1"/>
        <v>5.2559746302093979E-2</v>
      </c>
      <c r="M37" s="11">
        <f t="shared" si="2"/>
        <v>6.8821733507915921</v>
      </c>
      <c r="N37" s="11">
        <f t="shared" si="3"/>
        <v>0.727425968666642</v>
      </c>
      <c r="O37" s="11">
        <f t="shared" si="4"/>
        <v>0.86913740320749922</v>
      </c>
      <c r="P37" s="11">
        <f t="shared" si="5"/>
        <v>0.64084995986601689</v>
      </c>
      <c r="R37" s="12" t="str">
        <f>O1</f>
        <v>Loan/Deposit</v>
      </c>
      <c r="S37" t="str">
        <f ca="1">_xlfn.FORMULATEXT(O2)</f>
        <v>=F2/G2</v>
      </c>
    </row>
    <row r="38" spans="1:19" x14ac:dyDescent="0.2">
      <c r="K38" s="11"/>
      <c r="L38" s="11"/>
      <c r="M38" s="11"/>
      <c r="N38" s="11"/>
      <c r="O38" s="11"/>
      <c r="P38" s="11"/>
      <c r="R38" s="12" t="str">
        <f>P1</f>
        <v>Efficiency Ratio</v>
      </c>
      <c r="S38" t="str">
        <f ca="1">_xlfn.FORMULATEXT(P2)</f>
        <v>=J2/(H2+I2)</v>
      </c>
    </row>
    <row r="39" spans="1:19" x14ac:dyDescent="0.2">
      <c r="K39" s="11"/>
      <c r="L39" s="11"/>
      <c r="M39" s="11"/>
      <c r="N39" s="11"/>
      <c r="O39" s="11"/>
      <c r="P39" s="11"/>
    </row>
    <row r="40" spans="1:19" x14ac:dyDescent="0.2">
      <c r="K40" s="11"/>
      <c r="L40" s="11"/>
      <c r="M40" s="11"/>
      <c r="N40" s="11"/>
      <c r="O40" s="11"/>
      <c r="P40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C77CF-C28F-5A46-964D-66D87224894A}">
  <sheetPr>
    <tabColor theme="6"/>
  </sheetPr>
  <dimension ref="A1:G26"/>
  <sheetViews>
    <sheetView workbookViewId="0">
      <selection activeCell="J8" sqref="J8"/>
    </sheetView>
  </sheetViews>
  <sheetFormatPr baseColWidth="10" defaultRowHeight="16" x14ac:dyDescent="0.2"/>
  <cols>
    <col min="1" max="1" width="52.83203125" bestFit="1" customWidth="1"/>
    <col min="2" max="2" width="16.5" bestFit="1" customWidth="1"/>
    <col min="3" max="3" width="18.1640625" bestFit="1" customWidth="1"/>
    <col min="4" max="4" width="20.1640625" bestFit="1" customWidth="1"/>
    <col min="5" max="5" width="12.1640625" bestFit="1" customWidth="1"/>
    <col min="6" max="6" width="14.33203125" bestFit="1" customWidth="1"/>
    <col min="7" max="7" width="4.6640625" bestFit="1" customWidth="1"/>
  </cols>
  <sheetData>
    <row r="1" spans="1:7" s="2" customFormat="1" ht="24" x14ac:dyDescent="0.3">
      <c r="A1" s="13" t="s">
        <v>113</v>
      </c>
      <c r="B1" s="13"/>
      <c r="C1" s="13"/>
      <c r="D1" s="13"/>
      <c r="E1" s="13"/>
      <c r="F1" s="13"/>
      <c r="G1" s="13"/>
    </row>
    <row r="2" spans="1:7" x14ac:dyDescent="0.2">
      <c r="A2" s="1" t="s">
        <v>0</v>
      </c>
      <c r="B2" s="1" t="s">
        <v>114</v>
      </c>
      <c r="C2" s="1" t="s">
        <v>115</v>
      </c>
      <c r="D2" s="1" t="s">
        <v>116</v>
      </c>
      <c r="E2" s="1" t="s">
        <v>117</v>
      </c>
    </row>
    <row r="3" spans="1:7" x14ac:dyDescent="0.2">
      <c r="A3" t="s">
        <v>14</v>
      </c>
      <c r="B3">
        <f>AVERAGEIFS('Calculated Ratio'!$K:$K,'Calculated Ratio'!$A:$A,$A3)</f>
        <v>1.1841694669683182E-2</v>
      </c>
      <c r="C3" cm="1">
        <f t="array" ref="C3">_xlfn.STDEV.S(_xlfn._xlws.FILTER('Calculated Ratio'!$K:$K,'Calculated Ratio'!$A:$A=$A3))</f>
        <v>3.1988937722166643E-3</v>
      </c>
      <c r="D3">
        <f>AVERAGEIFS('Calculated Ratio'!$L:$L,'Calculated Ratio'!$A:$A,$A3)</f>
        <v>0.14103247415983208</v>
      </c>
      <c r="E3" cm="1">
        <f t="array" ref="E3">_xlfn.STDEV.S(_xlfn._xlws.FILTER('Calculated Ratio'!$L:$L,'Calculated Ratio'!$A:$A=$A3))</f>
        <v>3.5075285996803415E-2</v>
      </c>
    </row>
    <row r="4" spans="1:7" x14ac:dyDescent="0.2">
      <c r="A4" t="s">
        <v>44</v>
      </c>
      <c r="B4">
        <f>AVERAGEIFS('Calculated Ratio'!$K:$K,'Calculated Ratio'!$A:$A,$A4)</f>
        <v>5.6230486484000135E-2</v>
      </c>
      <c r="C4" cm="1">
        <f t="array" ref="C4">_xlfn.STDEV.S(_xlfn._xlws.FILTER('Calculated Ratio'!$K:$K,'Calculated Ratio'!$A:$A=$A4))</f>
        <v>1.0866529572605078E-2</v>
      </c>
      <c r="D4">
        <f>AVERAGEIFS('Calculated Ratio'!$L:$L,'Calculated Ratio'!$A:$A,$A4)</f>
        <v>0.67347165294891098</v>
      </c>
      <c r="E4" cm="1">
        <f t="array" ref="E4">_xlfn.STDEV.S(_xlfn._xlws.FILTER('Calculated Ratio'!$L:$L,'Calculated Ratio'!$A:$A=$A4))</f>
        <v>0.12048889103716985</v>
      </c>
    </row>
    <row r="5" spans="1:7" x14ac:dyDescent="0.2">
      <c r="A5" t="s">
        <v>95</v>
      </c>
      <c r="B5">
        <f>AVERAGEIFS('Calculated Ratio'!$K:$K,'Calculated Ratio'!$A:$A,$A5)</f>
        <v>1.0967964609737061E-2</v>
      </c>
      <c r="C5" cm="1">
        <f t="array" ref="C5">_xlfn.STDEV.S(_xlfn._xlws.FILTER('Calculated Ratio'!$K:$K,'Calculated Ratio'!$A:$A=$A5))</f>
        <v>1.1907648185425885E-3</v>
      </c>
      <c r="D5">
        <f>AVERAGEIFS('Calculated Ratio'!$L:$L,'Calculated Ratio'!$A:$A,$A5)</f>
        <v>0.11213435735569728</v>
      </c>
      <c r="E5" cm="1">
        <f t="array" ref="E5">_xlfn.STDEV.S(_xlfn._xlws.FILTER('Calculated Ratio'!$L:$L,'Calculated Ratio'!$A:$A=$A5))</f>
        <v>1.1381736724637631E-2</v>
      </c>
    </row>
    <row r="6" spans="1:7" x14ac:dyDescent="0.2">
      <c r="A6" t="s">
        <v>97</v>
      </c>
      <c r="B6">
        <f>AVERAGEIFS('Calculated Ratio'!$K:$K,'Calculated Ratio'!$A:$A,$A6)</f>
        <v>8.6213382500909732E-3</v>
      </c>
      <c r="C6" cm="1">
        <f t="array" ref="C6">_xlfn.STDEV.S(_xlfn._xlws.FILTER('Calculated Ratio'!$K:$K,'Calculated Ratio'!$A:$A=$A6))</f>
        <v>3.0092656118360641E-3</v>
      </c>
      <c r="D6">
        <f>AVERAGEIFS('Calculated Ratio'!$L:$L,'Calculated Ratio'!$A:$A,$A6)</f>
        <v>9.1699739168193184E-2</v>
      </c>
      <c r="E6" cm="1">
        <f t="array" ref="E6">_xlfn.STDEV.S(_xlfn._xlws.FILTER('Calculated Ratio'!$L:$L,'Calculated Ratio'!$A:$A=$A6))</f>
        <v>3.2705823798060564E-2</v>
      </c>
    </row>
    <row r="7" spans="1:7" x14ac:dyDescent="0.2">
      <c r="A7" t="s">
        <v>100</v>
      </c>
      <c r="B7">
        <f>AVERAGEIFS('Calculated Ratio'!$K:$K,'Calculated Ratio'!$A:$A,$A7)</f>
        <v>1.4750505700100664E-2</v>
      </c>
      <c r="C7" cm="1">
        <f t="array" ref="C7">_xlfn.STDEV.S(_xlfn._xlws.FILTER('Calculated Ratio'!$K:$K,'Calculated Ratio'!$A:$A=$A7))</f>
        <v>1.3723664536373461E-3</v>
      </c>
      <c r="D7">
        <f>AVERAGEIFS('Calculated Ratio'!$L:$L,'Calculated Ratio'!$A:$A,$A7)</f>
        <v>0.14747556006178975</v>
      </c>
      <c r="E7" cm="1">
        <f t="array" ref="E7">_xlfn.STDEV.S(_xlfn._xlws.FILTER('Calculated Ratio'!$L:$L,'Calculated Ratio'!$A:$A=$A7))</f>
        <v>1.288836617980667E-2</v>
      </c>
    </row>
    <row r="8" spans="1:7" x14ac:dyDescent="0.2">
      <c r="A8" t="s">
        <v>110</v>
      </c>
      <c r="B8">
        <f>AVERAGEIFS('Calculated Ratio'!$K:$K,'Calculated Ratio'!$A:$A,$A8)</f>
        <v>1.064726272592933E-2</v>
      </c>
      <c r="C8" cm="1">
        <f t="array" ref="C8">_xlfn.STDEV.S(_xlfn._xlws.FILTER('Calculated Ratio'!$K:$K,'Calculated Ratio'!$A:$A=$A8))</f>
        <v>2.5385426278768529E-3</v>
      </c>
      <c r="D8">
        <f>AVERAGEIFS('Calculated Ratio'!$L:$L,'Calculated Ratio'!$A:$A,$A8)</f>
        <v>8.0940272326248675E-2</v>
      </c>
      <c r="E8" cm="1">
        <f t="array" ref="E8">_xlfn.STDEV.S(_xlfn._xlws.FILTER('Calculated Ratio'!$L:$L,'Calculated Ratio'!$A:$A=$A8))</f>
        <v>1.6445307067099513E-2</v>
      </c>
    </row>
    <row r="10" spans="1:7" ht="24" x14ac:dyDescent="0.3">
      <c r="A10" s="13" t="s">
        <v>118</v>
      </c>
    </row>
    <row r="11" spans="1:7" x14ac:dyDescent="0.2">
      <c r="A11" s="1" t="s">
        <v>0</v>
      </c>
      <c r="B11" s="1" t="s">
        <v>119</v>
      </c>
      <c r="C11" s="1" t="s">
        <v>120</v>
      </c>
      <c r="D11" s="1" t="s">
        <v>121</v>
      </c>
      <c r="E11" s="1"/>
    </row>
    <row r="12" spans="1:7" x14ac:dyDescent="0.2">
      <c r="A12" t="s">
        <v>14</v>
      </c>
      <c r="B12" cm="1">
        <f t="array" ref="B12">_xlfn.XLOOKUP($A12&amp;2025,'Calculated Ratio'!$A:$A&amp;'Calculated Ratio'!$B:$B,'Calculated Ratio'!$N:$N)</f>
        <v>0.37691630816379745</v>
      </c>
      <c r="C12" cm="1">
        <f t="array" ref="C12">_xlfn.XLOOKUP($A12&amp;2025,'Calculated Ratio'!$A:$A&amp;'Calculated Ratio'!$B:$B,'Calculated Ratio'!$O:$O)</f>
        <v>0.61368416221204802</v>
      </c>
      <c r="D12" cm="1">
        <f t="array" ref="D12">_xlfn.XLOOKUP($A12&amp;2025,'Calculated Ratio'!$A:$A&amp;'Calculated Ratio'!$B:$B,'Calculated Ratio'!$M:$M)</f>
        <v>11.524872872628961</v>
      </c>
    </row>
    <row r="13" spans="1:7" x14ac:dyDescent="0.2">
      <c r="A13" t="s">
        <v>44</v>
      </c>
      <c r="B13" cm="1">
        <f t="array" ref="B13">_xlfn.XLOOKUP($A13&amp;2025,'Calculated Ratio'!$A:$A&amp;'Calculated Ratio'!$B:$B,'Calculated Ratio'!$N:$N)</f>
        <v>0.62276975361087505</v>
      </c>
      <c r="C13" cm="1">
        <f t="array" ref="C13">_xlfn.XLOOKUP($A13&amp;2025,'Calculated Ratio'!$A:$A&amp;'Calculated Ratio'!$B:$B,'Calculated Ratio'!$O:$O)</f>
        <v>0.69150943396226416</v>
      </c>
      <c r="D13" cm="1">
        <f t="array" ref="D13">_xlfn.XLOOKUP($A13&amp;2025,'Calculated Ratio'!$A:$A&amp;'Calculated Ratio'!$B:$B,'Calculated Ratio'!$M:$M)</f>
        <v>11.653465346534654</v>
      </c>
    </row>
    <row r="14" spans="1:7" x14ac:dyDescent="0.2">
      <c r="A14" t="s">
        <v>95</v>
      </c>
      <c r="B14" cm="1">
        <f t="array" ref="B14">_xlfn.XLOOKUP($A14&amp;2025,'Calculated Ratio'!$A:$A&amp;'Calculated Ratio'!$B:$B,'Calculated Ratio'!$N:$N)</f>
        <v>0.57836025241539502</v>
      </c>
      <c r="C14" cm="1">
        <f t="array" ref="C14">_xlfn.XLOOKUP($A14&amp;2025,'Calculated Ratio'!$A:$A&amp;'Calculated Ratio'!$B:$B,'Calculated Ratio'!$O:$O)</f>
        <v>0.73693633610012244</v>
      </c>
      <c r="D14" cm="1">
        <f t="array" ref="D14">_xlfn.XLOOKUP($A14&amp;2025,'Calculated Ratio'!$A:$A&amp;'Calculated Ratio'!$B:$B,'Calculated Ratio'!$M:$M)</f>
        <v>9.8016152204590359</v>
      </c>
    </row>
    <row r="15" spans="1:7" x14ac:dyDescent="0.2">
      <c r="A15" t="s">
        <v>97</v>
      </c>
      <c r="B15" cm="1">
        <f t="array" ref="B15">_xlfn.XLOOKUP($A15&amp;2025,'Calculated Ratio'!$A:$A&amp;'Calculated Ratio'!$B:$B,'Calculated Ratio'!$N:$N)</f>
        <v>0.59387831280328485</v>
      </c>
      <c r="C15" cm="1">
        <f t="array" ref="C15">_xlfn.XLOOKUP($A15&amp;2025,'Calculated Ratio'!$A:$A&amp;'Calculated Ratio'!$B:$B,'Calculated Ratio'!$O:$O)</f>
        <v>0.77176813000242539</v>
      </c>
      <c r="D15" cm="1">
        <f t="array" ref="D15">_xlfn.XLOOKUP($A15&amp;2025,'Calculated Ratio'!$A:$A&amp;'Calculated Ratio'!$B:$B,'Calculated Ratio'!$M:$M)</f>
        <v>10.80241935483871</v>
      </c>
    </row>
    <row r="16" spans="1:7" x14ac:dyDescent="0.2">
      <c r="A16" t="s">
        <v>100</v>
      </c>
      <c r="B16" cm="1">
        <f t="array" ref="B16">_xlfn.XLOOKUP($A16&amp;2025,'Calculated Ratio'!$A:$A&amp;'Calculated Ratio'!$B:$B,'Calculated Ratio'!$N:$N)</f>
        <v>0.69386474169928491</v>
      </c>
      <c r="C16" cm="1">
        <f t="array" ref="C16">_xlfn.XLOOKUP($A16&amp;2025,'Calculated Ratio'!$A:$A&amp;'Calculated Ratio'!$B:$B,'Calculated Ratio'!$O:$O)</f>
        <v>0.7928689877684858</v>
      </c>
      <c r="D16" cm="1">
        <f t="array" ref="D16">_xlfn.XLOOKUP($A16&amp;2025,'Calculated Ratio'!$A:$A&amp;'Calculated Ratio'!$B:$B,'Calculated Ratio'!$M:$M)</f>
        <v>9.7413205979401578</v>
      </c>
    </row>
    <row r="17" spans="1:4" x14ac:dyDescent="0.2">
      <c r="A17" t="s">
        <v>110</v>
      </c>
      <c r="B17" cm="1">
        <f t="array" ref="B17">_xlfn.XLOOKUP($A17&amp;2025,'Calculated Ratio'!$A:$A&amp;'Calculated Ratio'!$B:$B,'Calculated Ratio'!$N:$N)</f>
        <v>0.80915578039564739</v>
      </c>
      <c r="C17" cm="1">
        <f t="array" ref="C17">_xlfn.XLOOKUP($A17&amp;2025,'Calculated Ratio'!$A:$A&amp;'Calculated Ratio'!$B:$B,'Calculated Ratio'!$O:$O)</f>
        <v>0.93490084434939946</v>
      </c>
      <c r="D17" cm="1">
        <f t="array" ref="D17">_xlfn.XLOOKUP($A17&amp;2025,'Calculated Ratio'!$A:$A&amp;'Calculated Ratio'!$B:$B,'Calculated Ratio'!$M:$M)</f>
        <v>9.8802415245495236</v>
      </c>
    </row>
    <row r="19" spans="1:4" ht="24" x14ac:dyDescent="0.3">
      <c r="A19" s="13" t="s">
        <v>122</v>
      </c>
    </row>
    <row r="20" spans="1:4" x14ac:dyDescent="0.2">
      <c r="A20" s="2" t="s">
        <v>0</v>
      </c>
      <c r="B20" s="2" t="s">
        <v>123</v>
      </c>
      <c r="C20" s="2" t="s">
        <v>124</v>
      </c>
      <c r="D20" s="2" t="s">
        <v>125</v>
      </c>
    </row>
    <row r="21" spans="1:4" x14ac:dyDescent="0.2">
      <c r="A21" t="s">
        <v>14</v>
      </c>
      <c r="B21" s="10" cm="1">
        <f t="array" ref="B21">_xlfn.XLOOKUP($A21&amp;2025,'Calculated Ratio'!$A:$A&amp;'Calculated Ratio'!$B:$B,'Calculated Ratio'!$H:$H)</f>
        <v>97846000</v>
      </c>
      <c r="C21" s="10" cm="1">
        <f t="array" ref="C21">_xlfn.XLOOKUP($A21&amp;2025,'Calculated Ratio'!$A:$A&amp;'Calculated Ratio'!$B:$B,'Calculated Ratio'!$I:$I)</f>
        <v>66240000</v>
      </c>
      <c r="D21" cm="1">
        <f t="array" ref="D21">_xlfn.XLOOKUP($A21&amp;2025,'Calculated Ratio'!$A:$A&amp;'Calculated Ratio'!$B:$B,'Calculated Ratio'!$P:$P)</f>
        <v>0.52489548163767785</v>
      </c>
    </row>
    <row r="22" spans="1:4" x14ac:dyDescent="0.2">
      <c r="A22" t="s">
        <v>44</v>
      </c>
      <c r="B22" s="10" cm="1">
        <f t="array" ref="B22">_xlfn.XLOOKUP($A22&amp;2025,'Calculated Ratio'!$A:$A&amp;'Calculated Ratio'!$B:$B,'Calculated Ratio'!$H:$H)</f>
        <v>238000</v>
      </c>
      <c r="C22" s="10" cm="1">
        <f t="array" ref="C22">_xlfn.XLOOKUP($A22&amp;2025,'Calculated Ratio'!$A:$A&amp;'Calculated Ratio'!$B:$B,'Calculated Ratio'!$I:$I)</f>
        <v>1000</v>
      </c>
      <c r="D22" cm="1">
        <f t="array" ref="D22">_xlfn.XLOOKUP($A22&amp;2025,'Calculated Ratio'!$A:$A&amp;'Calculated Ratio'!$B:$B,'Calculated Ratio'!$P:$P)</f>
        <v>0.52301255230125521</v>
      </c>
    </row>
    <row r="23" spans="1:4" x14ac:dyDescent="0.2">
      <c r="A23" t="s">
        <v>95</v>
      </c>
      <c r="B23" s="10" cm="1">
        <f t="array" ref="B23">_xlfn.XLOOKUP($A23&amp;2025,'Calculated Ratio'!$A:$A&amp;'Calculated Ratio'!$B:$B,'Calculated Ratio'!$H:$H)</f>
        <v>15135750</v>
      </c>
      <c r="C23" s="10" cm="1">
        <f t="array" ref="C23">_xlfn.XLOOKUP($A23&amp;2025,'Calculated Ratio'!$A:$A&amp;'Calculated Ratio'!$B:$B,'Calculated Ratio'!$I:$I)</f>
        <v>7780792</v>
      </c>
      <c r="D23" cm="1">
        <f t="array" ref="D23">_xlfn.XLOOKUP($A23&amp;2025,'Calculated Ratio'!$A:$A&amp;'Calculated Ratio'!$B:$B,'Calculated Ratio'!$P:$P)</f>
        <v>0.57817963984269527</v>
      </c>
    </row>
    <row r="24" spans="1:4" x14ac:dyDescent="0.2">
      <c r="A24" t="s">
        <v>97</v>
      </c>
      <c r="B24" s="10" cm="1">
        <f t="array" ref="B24">_xlfn.XLOOKUP($A24&amp;2025,'Calculated Ratio'!$A:$A&amp;'Calculated Ratio'!$B:$B,'Calculated Ratio'!$H:$H)</f>
        <v>14812000</v>
      </c>
      <c r="C24" s="10" cm="1">
        <f t="array" ref="C24">_xlfn.XLOOKUP($A24&amp;2025,'Calculated Ratio'!$A:$A&amp;'Calculated Ratio'!$B:$B,'Calculated Ratio'!$I:$I)</f>
        <v>4527000</v>
      </c>
      <c r="D24" cm="1">
        <f t="array" ref="D24">_xlfn.XLOOKUP($A24&amp;2025,'Calculated Ratio'!$A:$A&amp;'Calculated Ratio'!$B:$B,'Calculated Ratio'!$P:$P)</f>
        <v>0.55897409380009311</v>
      </c>
    </row>
    <row r="25" spans="1:4" x14ac:dyDescent="0.2">
      <c r="A25" t="s">
        <v>100</v>
      </c>
      <c r="B25" s="10" cm="1">
        <f t="array" ref="B25">_xlfn.XLOOKUP($A25&amp;2025,'Calculated Ratio'!$A:$A&amp;'Calculated Ratio'!$B:$B,'Calculated Ratio'!$H:$H)</f>
        <v>221396</v>
      </c>
      <c r="C25" s="10" cm="1">
        <f t="array" ref="C25">_xlfn.XLOOKUP($A25&amp;2025,'Calculated Ratio'!$A:$A&amp;'Calculated Ratio'!$B:$B,'Calculated Ratio'!$I:$I)</f>
        <v>44791</v>
      </c>
      <c r="D25" cm="1">
        <f t="array" ref="D25">_xlfn.XLOOKUP($A25&amp;2025,'Calculated Ratio'!$A:$A&amp;'Calculated Ratio'!$B:$B,'Calculated Ratio'!$P:$P)</f>
        <v>0.48446017273570835</v>
      </c>
    </row>
    <row r="26" spans="1:4" x14ac:dyDescent="0.2">
      <c r="A26" t="s">
        <v>110</v>
      </c>
      <c r="B26" s="10" cm="1">
        <f t="array" ref="B26">_xlfn.XLOOKUP($A26&amp;2025,'Calculated Ratio'!$A:$A&amp;'Calculated Ratio'!$B:$B,'Calculated Ratio'!$H:$H)</f>
        <v>575302</v>
      </c>
      <c r="C26" s="10" cm="1">
        <f t="array" ref="C26">_xlfn.XLOOKUP($A26&amp;2025,'Calculated Ratio'!$A:$A&amp;'Calculated Ratio'!$B:$B,'Calculated Ratio'!$I:$I)</f>
        <v>120908</v>
      </c>
      <c r="D26" cm="1">
        <f t="array" ref="D26">_xlfn.XLOOKUP($A26&amp;2025,'Calculated Ratio'!$A:$A&amp;'Calculated Ratio'!$B:$B,'Calculated Ratio'!$P:$P)</f>
        <v>0.58256273250886947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14938-476C-8643-B97D-C2765543C0BC}">
  <sheetPr>
    <tabColor rgb="FFFFFF00"/>
  </sheetPr>
  <dimension ref="A1"/>
  <sheetViews>
    <sheetView zoomScale="75" zoomScaleNormal="75" workbookViewId="0">
      <selection activeCell="U50" sqref="U5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RawData</vt:lpstr>
      <vt:lpstr>Calculated Ratio</vt:lpstr>
      <vt:lpstr>FIN432_US_Commercial_Bank_Finan</vt:lpstr>
      <vt:lpstr>Visual Analysis Sheet</vt:lpstr>
      <vt:lpstr>BAC</vt:lpstr>
      <vt:lpstr>BAC_2020</vt:lpstr>
      <vt:lpstr>BAC_2021</vt:lpstr>
      <vt:lpstr>BAC_2022</vt:lpstr>
      <vt:lpstr>BAC_2023</vt:lpstr>
      <vt:lpstr>BAC_2024</vt:lpstr>
      <vt:lpstr>BAC_2025</vt:lpstr>
      <vt:lpstr>JPM</vt:lpstr>
      <vt:lpstr>JPM_2022</vt:lpstr>
      <vt:lpstr>JPM_2023</vt:lpstr>
      <vt:lpstr>JPM_2024</vt:lpstr>
      <vt:lpstr>JPM_2025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 Santoso</dc:creator>
  <cp:lastModifiedBy>Benedict  Santoso</cp:lastModifiedBy>
  <dcterms:created xsi:type="dcterms:W3CDTF">2026-03-01T14:28:11Z</dcterms:created>
  <dcterms:modified xsi:type="dcterms:W3CDTF">2026-03-05T03:43:41Z</dcterms:modified>
</cp:coreProperties>
</file>